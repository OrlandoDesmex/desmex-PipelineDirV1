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CENTRADO DE EGRESOS" sheetId="1" r:id="rId5"/>
    <sheet state="visible" name="Josué Morales" sheetId="2" r:id="rId6"/>
    <sheet state="visible" name="Rebeca Ortiz" sheetId="3" r:id="rId7"/>
    <sheet state="visible" name="Marco Flores" sheetId="4" r:id="rId8"/>
    <sheet state="visible" name="Daniela Lara" sheetId="5" r:id="rId9"/>
    <sheet state="visible" name="Alexandro Carrasco" sheetId="6" r:id="rId10"/>
    <sheet state="visible" name="Saira Gómez" sheetId="7" r:id="rId11"/>
    <sheet state="visible" name="Concentrado Equipo TA " sheetId="8" r:id="rId12"/>
    <sheet state="hidden" name="Copia seguridad 27-01-2026" sheetId="9" r:id="rId13"/>
  </sheets>
  <definedNames>
    <definedName hidden="1" localSheetId="1" name="_xlnm._FilterDatabase">'Josué Morales'!$A$1:$K$148</definedName>
    <definedName hidden="1" localSheetId="2" name="_xlnm._FilterDatabase">'Rebeca Ortiz'!$A$1:$K$80</definedName>
    <definedName hidden="1" localSheetId="3" name="_xlnm._FilterDatabase">'Marco Flores'!$A$1:$K$24</definedName>
    <definedName hidden="1" localSheetId="4" name="_xlnm._FilterDatabase">'Daniela Lara'!$A$1:$K$115</definedName>
    <definedName hidden="1" localSheetId="5" name="_xlnm._FilterDatabase">'Alexandro Carrasco'!$A$1:$K$182</definedName>
    <definedName hidden="1" localSheetId="6" name="_xlnm._FilterDatabase">'Saira Gómez'!$A$1:$K$15</definedName>
    <definedName hidden="1" localSheetId="7" name="_xlnm._FilterDatabase">'Concentrado Equipo TA '!$A$1:$K$429</definedName>
    <definedName hidden="1" localSheetId="8" name="_xlnm._FilterDatabase">'Copia seguridad 27-01-2026'!$A$1:$K$275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tc={82579d3c-567e-4f22-a23b-a4f383e94a2f}</author>
    <author>tc={c4840c41-72ba-4f19-9676-8754247b78b5}</author>
  </authors>
  <commentList>
    <comment authorId="0" xr:uid="{82579d3c-567e-4f22-a23b-a4f383e94a2f}" ref="J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ya lo tiene en seguimiento Josué
</t>
      </text>
    </comment>
    <comment authorId="1" xr:uid="{c4840c41-72ba-4f19-9676-8754247b78b5}" ref="J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Ya tienen contrato con Ammper
</t>
      </text>
    </comment>
  </commentList>
</comments>
</file>

<file path=xl/sharedStrings.xml><?xml version="1.0" encoding="utf-8"?>
<sst xmlns="http://schemas.openxmlformats.org/spreadsheetml/2006/main" count="4537" uniqueCount="1397">
  <si>
    <t>ID de Egresos</t>
  </si>
  <si>
    <t>Fecha</t>
  </si>
  <si>
    <t>Asesor Comercial</t>
  </si>
  <si>
    <t>Concepto</t>
  </si>
  <si>
    <t>Monto</t>
  </si>
  <si>
    <t>Lugar Visitado</t>
  </si>
  <si>
    <t>No. Empresas Visitadas</t>
  </si>
  <si>
    <t>No. Contactos calificados</t>
  </si>
  <si>
    <t>No. Citas técnicas</t>
  </si>
  <si>
    <t>No. Cotizaciones</t>
  </si>
  <si>
    <t>No. Ventas Cerradas</t>
  </si>
  <si>
    <t>CE1</t>
  </si>
  <si>
    <t>Josué</t>
  </si>
  <si>
    <t>Viáticos</t>
  </si>
  <si>
    <t>CE2</t>
  </si>
  <si>
    <t>Rebeca</t>
  </si>
  <si>
    <t>CE3</t>
  </si>
  <si>
    <t>Marco</t>
  </si>
  <si>
    <t>Gasolina + Casetas</t>
  </si>
  <si>
    <t>CE4</t>
  </si>
  <si>
    <t>Alexandro</t>
  </si>
  <si>
    <t>CE5</t>
  </si>
  <si>
    <t>Hospedaje</t>
  </si>
  <si>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</si>
  <si>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</si>
  <si>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</si>
  <si>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</si>
  <si>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</si>
  <si>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</si>
  <si>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</si>
  <si>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</si>
  <si>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</si>
  <si>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</si>
  <si>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</si>
  <si>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PSP94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</si>
  <si>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</si>
  <si>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</si>
  <si>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</si>
  <si>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</si>
  <si>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</si>
  <si>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</si>
  <si>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PSP95</t>
  </si>
  <si>
    <t>Juan Manuel</t>
  </si>
  <si>
    <t>INOAC</t>
  </si>
  <si>
    <t>PSP96</t>
  </si>
  <si>
    <t>Ricardo Rojas</t>
  </si>
  <si>
    <t>AKEBONO BRAKE</t>
  </si>
  <si>
    <t>8. Propuesta Enviada</t>
  </si>
  <si>
    <t>Llamada en Frío (Prospección)</t>
  </si>
  <si>
    <t>PSP97</t>
  </si>
  <si>
    <t>Isidoro Rocha</t>
  </si>
  <si>
    <t>AVOCADOS</t>
  </si>
  <si>
    <t>PSP98</t>
  </si>
  <si>
    <t>Daniela de la Torre</t>
  </si>
  <si>
    <t>CARRIER</t>
  </si>
  <si>
    <t>11. Aprobación Interna (Go/No-Go)</t>
  </si>
  <si>
    <t>Reactivación de Base de Datos</t>
  </si>
  <si>
    <t>PSP99</t>
  </si>
  <si>
    <t>Adriana Maciel</t>
  </si>
  <si>
    <t>CARTRO</t>
  </si>
  <si>
    <t>PSP100</t>
  </si>
  <si>
    <t>Mauricio Lem</t>
  </si>
  <si>
    <t>CASTORES</t>
  </si>
  <si>
    <t>15. En Pausa / Seguimiento Posterior</t>
  </si>
  <si>
    <t>PSP101</t>
  </si>
  <si>
    <t>Hugo Mendoza</t>
  </si>
  <si>
    <t>CIE AUTOMOTIVE</t>
  </si>
  <si>
    <t>9. Aclaraciones / Ajustes de Propuesta</t>
  </si>
  <si>
    <t>PSP102</t>
  </si>
  <si>
    <t>Jose Flores</t>
  </si>
  <si>
    <t>CONTI GDL EXP</t>
  </si>
  <si>
    <t>PSP103</t>
  </si>
  <si>
    <t>Carlos Abarca</t>
  </si>
  <si>
    <t>CONTI PERI</t>
  </si>
  <si>
    <t>PSP104</t>
  </si>
  <si>
    <t>Vicente R</t>
  </si>
  <si>
    <t>CONTI MORELIA</t>
  </si>
  <si>
    <t>PSP105</t>
  </si>
  <si>
    <t>Brenda Ortiz</t>
  </si>
  <si>
    <t>COPO TEXTILE</t>
  </si>
  <si>
    <t>PSP106</t>
  </si>
  <si>
    <t>Carlos Torres</t>
  </si>
  <si>
    <t>DEKOSYS</t>
  </si>
  <si>
    <t>PSP107</t>
  </si>
  <si>
    <t>Elvira Avila</t>
  </si>
  <si>
    <t>DENSO</t>
  </si>
  <si>
    <t>PSP108</t>
  </si>
  <si>
    <t>DS PROCESS</t>
  </si>
  <si>
    <t>PSP109</t>
  </si>
  <si>
    <t>Bernardo Ramirez</t>
  </si>
  <si>
    <t>EMBALAJES ST JOHNS</t>
  </si>
  <si>
    <t>PSP110</t>
  </si>
  <si>
    <t>Enrique Flores</t>
  </si>
  <si>
    <t>FLEXITECH</t>
  </si>
  <si>
    <t>PSP111</t>
  </si>
  <si>
    <t>Alfredo Alonso</t>
  </si>
  <si>
    <t>GEMOMEX</t>
  </si>
  <si>
    <t>LinkedIn (Orgánico)</t>
  </si>
  <si>
    <t>PSP112</t>
  </si>
  <si>
    <t>Luz Reyes</t>
  </si>
  <si>
    <t>GRAHAM</t>
  </si>
  <si>
    <t>PSP113</t>
  </si>
  <si>
    <t>Janett Martinez</t>
  </si>
  <si>
    <t>GRAMMER</t>
  </si>
  <si>
    <t>PSP114</t>
  </si>
  <si>
    <t>Luis Barragan</t>
  </si>
  <si>
    <t>HERSHYS GDL</t>
  </si>
  <si>
    <t>PSP115</t>
  </si>
  <si>
    <t>Erick Candia</t>
  </si>
  <si>
    <t>HERSHEYS NL</t>
  </si>
  <si>
    <t>PSP116</t>
  </si>
  <si>
    <t>Guillermo C</t>
  </si>
  <si>
    <t>HOLIDAY IN</t>
  </si>
  <si>
    <t>PSP117</t>
  </si>
  <si>
    <t>Manuel Saenz</t>
  </si>
  <si>
    <t>IBIDEN</t>
  </si>
  <si>
    <t>PSP118</t>
  </si>
  <si>
    <t>Ricardo F</t>
  </si>
  <si>
    <t>IKANO</t>
  </si>
  <si>
    <t>PSP119</t>
  </si>
  <si>
    <t>KROMBERG</t>
  </si>
  <si>
    <t>PSP120</t>
  </si>
  <si>
    <t>Rodolfo Castillo</t>
  </si>
  <si>
    <t>GREENKOTE</t>
  </si>
  <si>
    <t>PSP121</t>
  </si>
  <si>
    <t>Alfonso Sanchez</t>
  </si>
  <si>
    <t>GM RAMOS ARIZPE</t>
  </si>
  <si>
    <t>10. Negociación</t>
  </si>
  <si>
    <t>PSP122</t>
  </si>
  <si>
    <t>Hector Elizondo</t>
  </si>
  <si>
    <t>FORD</t>
  </si>
  <si>
    <t>PSP123</t>
  </si>
  <si>
    <t>Susana Peña</t>
  </si>
  <si>
    <t>LINAMAR</t>
  </si>
  <si>
    <t>PSP124</t>
  </si>
  <si>
    <t>Josafat verits</t>
  </si>
  <si>
    <t>MANN+HUMMEL</t>
  </si>
  <si>
    <t>PSP125</t>
  </si>
  <si>
    <t>Othon Mojica</t>
  </si>
  <si>
    <t>NILFISK</t>
  </si>
  <si>
    <t>1. Prospección</t>
  </si>
  <si>
    <t>PSP126</t>
  </si>
  <si>
    <t>Jose Dominguez</t>
  </si>
  <si>
    <t>OPTIBELT</t>
  </si>
  <si>
    <t>PSP127</t>
  </si>
  <si>
    <t>Claudia Mora</t>
  </si>
  <si>
    <t>BOS</t>
  </si>
  <si>
    <t>PSP128</t>
  </si>
  <si>
    <t>Veronica Garcia</t>
  </si>
  <si>
    <t>REAL DE MINAS</t>
  </si>
  <si>
    <t>PSP129</t>
  </si>
  <si>
    <t>Cecilia L</t>
  </si>
  <si>
    <t>INDIGO</t>
  </si>
  <si>
    <t>PSP130</t>
  </si>
  <si>
    <t>Miguel Angel</t>
  </si>
  <si>
    <t>P P D PLASTICO</t>
  </si>
  <si>
    <t>PSP132</t>
  </si>
  <si>
    <t>Eduardo Arevalo</t>
  </si>
  <si>
    <t>TIGER DYRLAC</t>
  </si>
  <si>
    <t>Cliente Recurrente (Recompra/Ampliación)</t>
  </si>
  <si>
    <t>PSP133</t>
  </si>
  <si>
    <t>Cesar Xavier</t>
  </si>
  <si>
    <t>TMM / TSE</t>
  </si>
  <si>
    <t>PSP134</t>
  </si>
  <si>
    <t>TONY PAPELERIAS</t>
  </si>
  <si>
    <t>PSP135</t>
  </si>
  <si>
    <t>TRINI-VISE</t>
  </si>
  <si>
    <t>PSP136</t>
  </si>
  <si>
    <t>UREBLOCK</t>
  </si>
  <si>
    <t>PSP137</t>
  </si>
  <si>
    <t>VIBRACOUSTICS</t>
  </si>
  <si>
    <t>PSP138</t>
  </si>
  <si>
    <t>VISE TRITURDORA</t>
  </si>
  <si>
    <t>PSP139</t>
  </si>
  <si>
    <t>WOCO AUTOMOTIVE</t>
  </si>
  <si>
    <t>PSP140</t>
  </si>
  <si>
    <t>GEAR GT</t>
  </si>
  <si>
    <t>PSP141</t>
  </si>
  <si>
    <t>GOSHYU</t>
  </si>
  <si>
    <t>PSP142</t>
  </si>
  <si>
    <t>NIPPON</t>
  </si>
  <si>
    <t>PSP143</t>
  </si>
  <si>
    <t>NSK WARNER</t>
  </si>
  <si>
    <t>PSP144</t>
  </si>
  <si>
    <t>TRITECH</t>
  </si>
  <si>
    <t>PSP145</t>
  </si>
  <si>
    <t>YAZAKI</t>
  </si>
  <si>
    <t>PSP146</t>
  </si>
  <si>
    <t>PANAMERICANA</t>
  </si>
  <si>
    <t>PSP147</t>
  </si>
  <si>
    <t>ALEMET</t>
  </si>
  <si>
    <t>PSP148</t>
  </si>
  <si>
    <t>POLIOLES</t>
  </si>
  <si>
    <t>PSP149</t>
  </si>
  <si>
    <t>Delia Rodriguez</t>
  </si>
  <si>
    <t>Polaris</t>
  </si>
  <si>
    <t>PSP150</t>
  </si>
  <si>
    <t>Juan Mario Medina Aguado</t>
  </si>
  <si>
    <t>PHL</t>
  </si>
  <si>
    <t>PSP151</t>
  </si>
  <si>
    <t>María José Maldonado</t>
  </si>
  <si>
    <t>F&amp;P MFG de México</t>
  </si>
  <si>
    <t>PSP152</t>
  </si>
  <si>
    <t>Humberto Carrasco Garcia</t>
  </si>
  <si>
    <t>Donaldson</t>
  </si>
  <si>
    <t>PSP153</t>
  </si>
  <si>
    <t>Josafat Vazquez</t>
  </si>
  <si>
    <t>Mann Hummel</t>
  </si>
  <si>
    <t>PSP154</t>
  </si>
  <si>
    <t>Sergio Sanchez</t>
  </si>
  <si>
    <t>Foxconn</t>
  </si>
  <si>
    <t>PSP155</t>
  </si>
  <si>
    <t>Apolinar Vargas</t>
  </si>
  <si>
    <t>Borg Warner</t>
  </si>
  <si>
    <t>PSP156</t>
  </si>
  <si>
    <t>Jose Eduardo Rodriguez Rivera</t>
  </si>
  <si>
    <t>EM Bajio</t>
  </si>
  <si>
    <t>PSP157</t>
  </si>
  <si>
    <t>Fernando Zarate Brambila</t>
  </si>
  <si>
    <t>AMPM</t>
  </si>
  <si>
    <t>PSP158</t>
  </si>
  <si>
    <t>Jorge Leyva Alonso</t>
  </si>
  <si>
    <t>Hirschvogel Components México</t>
  </si>
  <si>
    <t>PSP159</t>
  </si>
  <si>
    <t>Jose Manuel Moreno</t>
  </si>
  <si>
    <t>Alemet</t>
  </si>
  <si>
    <t>PSP160</t>
  </si>
  <si>
    <t>Tomas Martinez Vermeire</t>
  </si>
  <si>
    <t>Aeromexico</t>
  </si>
  <si>
    <t>PSP161</t>
  </si>
  <si>
    <t>Joana Garcia (Gerente de planta) Brenda Ortiz (Gerente de EHS)</t>
  </si>
  <si>
    <t>Copo</t>
  </si>
  <si>
    <t>PSP162</t>
  </si>
  <si>
    <t>Brayan Omar Osorio Olivares</t>
  </si>
  <si>
    <t>Walmart</t>
  </si>
  <si>
    <t>PSP163</t>
  </si>
  <si>
    <t>Walter Bautista Aguilar</t>
  </si>
  <si>
    <t>Polioles</t>
  </si>
  <si>
    <t>PSP164</t>
  </si>
  <si>
    <t>Industrias Color In</t>
  </si>
  <si>
    <t>PSP165</t>
  </si>
  <si>
    <t>Sergio Jesús Jurado Cano</t>
  </si>
  <si>
    <t>GM</t>
  </si>
  <si>
    <t>PSP166</t>
  </si>
  <si>
    <t>Daniel Olalde</t>
  </si>
  <si>
    <t>Posco</t>
  </si>
  <si>
    <t>PSP167</t>
  </si>
  <si>
    <t>Alonso Carrillo</t>
  </si>
  <si>
    <t>Biofarma</t>
  </si>
  <si>
    <t>PSP168</t>
  </si>
  <si>
    <t>Jorge Garduño Vilchis</t>
  </si>
  <si>
    <t>Walor</t>
  </si>
  <si>
    <t>PSP169</t>
  </si>
  <si>
    <t>Obed Rico</t>
  </si>
  <si>
    <t>SIG</t>
  </si>
  <si>
    <t>PSP170</t>
  </si>
  <si>
    <t>Felipe Romo Paz</t>
  </si>
  <si>
    <t>Cuervo</t>
  </si>
  <si>
    <t>PSP171</t>
  </si>
  <si>
    <t>Linet Rubí García Navarrete</t>
  </si>
  <si>
    <t>Coca Cola</t>
  </si>
  <si>
    <t>PSP172</t>
  </si>
  <si>
    <t>Samuel Noriega Zavala</t>
  </si>
  <si>
    <t>DOWA</t>
  </si>
  <si>
    <t>PSP173</t>
  </si>
  <si>
    <t>Agustin Limon</t>
  </si>
  <si>
    <t>MABE</t>
  </si>
  <si>
    <t>PSP174</t>
  </si>
  <si>
    <t>Alejandro García Vega</t>
  </si>
  <si>
    <t>FLEX</t>
  </si>
  <si>
    <t>PSP175</t>
  </si>
  <si>
    <t>Silvia Ceja</t>
  </si>
  <si>
    <t>NEXTEER</t>
  </si>
  <si>
    <t>PSP176</t>
  </si>
  <si>
    <t>Mónica Servín</t>
  </si>
  <si>
    <t>WHIRLPOOL</t>
  </si>
  <si>
    <t>PSP177</t>
  </si>
  <si>
    <t>Cecilia Corpus Alvarado</t>
  </si>
  <si>
    <t>JTEKT</t>
  </si>
  <si>
    <t>PSP178</t>
  </si>
  <si>
    <t>Andrea Barba</t>
  </si>
  <si>
    <t>PEPSICO</t>
  </si>
  <si>
    <t>PSP179</t>
  </si>
  <si>
    <t>Diana Regalado</t>
  </si>
  <si>
    <t>ERICSSON</t>
  </si>
  <si>
    <t>PSP180</t>
  </si>
  <si>
    <t>Carlos Cedillo</t>
  </si>
  <si>
    <t>PLEXUS CORP</t>
  </si>
  <si>
    <t>PSP181</t>
  </si>
  <si>
    <t>Francisco Alonso</t>
  </si>
  <si>
    <t>FRESENIUS KABI</t>
  </si>
  <si>
    <t>PSP182</t>
  </si>
  <si>
    <t>Elena Sanchez</t>
  </si>
  <si>
    <t>SUMMIT</t>
  </si>
  <si>
    <t>PSP183</t>
  </si>
  <si>
    <t>Yoselin Hurtado</t>
  </si>
  <si>
    <t>METALSA</t>
  </si>
  <si>
    <t>PSP184</t>
  </si>
  <si>
    <t>Ricardo Cervantes</t>
  </si>
  <si>
    <t>FUJIKURA</t>
  </si>
  <si>
    <t>PSP185</t>
  </si>
  <si>
    <t>Bertha Teresa Martinez Marmolejo</t>
  </si>
  <si>
    <t>BODYCOTE</t>
  </si>
  <si>
    <t>PSP186</t>
  </si>
  <si>
    <t>Rodolfo Escamilla</t>
  </si>
  <si>
    <t>NSK</t>
  </si>
  <si>
    <t>PSP187</t>
  </si>
  <si>
    <t>Lilia</t>
  </si>
  <si>
    <t>MOLTEN</t>
  </si>
  <si>
    <t>PSP188</t>
  </si>
  <si>
    <t>Jose Francisco Baltazar</t>
  </si>
  <si>
    <t>MINEBEA</t>
  </si>
  <si>
    <t>PSP189</t>
  </si>
  <si>
    <t>Alejandro Fernandez</t>
  </si>
  <si>
    <t>PSP190</t>
  </si>
  <si>
    <t>Josafat Serrano</t>
  </si>
  <si>
    <t>BONAFOND</t>
  </si>
  <si>
    <t>PSP191</t>
  </si>
  <si>
    <t>Guajardo Zárate Karina</t>
  </si>
  <si>
    <t>Solventum</t>
  </si>
  <si>
    <t>PSP192</t>
  </si>
  <si>
    <t>Yescas Barbosa Miguel Angel</t>
  </si>
  <si>
    <t>the LEGO Group</t>
  </si>
  <si>
    <t>PSP193</t>
  </si>
  <si>
    <t>Damian Zavala Jose Angel</t>
  </si>
  <si>
    <t>Whirlpool Corporation</t>
  </si>
  <si>
    <t>PSP194</t>
  </si>
  <si>
    <t>Hernández Ramírez Heberto</t>
  </si>
  <si>
    <t>PSP195</t>
  </si>
  <si>
    <t>Perez Alvarez Honorio</t>
  </si>
  <si>
    <t>PSP196</t>
  </si>
  <si>
    <t>Trejo Ruiz Ana</t>
  </si>
  <si>
    <t>Baomarc Automotive Solutions</t>
  </si>
  <si>
    <t>PSP197</t>
  </si>
  <si>
    <t>Cruz Cobos Carlos Andres</t>
  </si>
  <si>
    <t>Emergent Cold LatAm</t>
  </si>
  <si>
    <t>PSP198</t>
  </si>
  <si>
    <t>Ramirez Galilea</t>
  </si>
  <si>
    <t>Omnibus de México</t>
  </si>
  <si>
    <t>PSP199</t>
  </si>
  <si>
    <t>Alvarado Garcia Angeles</t>
  </si>
  <si>
    <t>Mitchel plastics derramadero</t>
  </si>
  <si>
    <t>PSP200</t>
  </si>
  <si>
    <t>Hernandez Enrique</t>
  </si>
  <si>
    <t>Suzuki Garphyttan</t>
  </si>
  <si>
    <t>PSP201</t>
  </si>
  <si>
    <t>Mosqueda Rodríguez José Jesús </t>
  </si>
  <si>
    <t>PHC VALEO</t>
  </si>
  <si>
    <t>PSP202</t>
  </si>
  <si>
    <t>Cepeda Estephania</t>
  </si>
  <si>
    <t>Mahle Pistones</t>
  </si>
  <si>
    <t>PSP203</t>
  </si>
  <si>
    <t>Zaragoza Neria Gabriel</t>
  </si>
  <si>
    <t>Mondelēz International / CDMX</t>
  </si>
  <si>
    <t>PSP204</t>
  </si>
  <si>
    <t>Almazan Escalona Jonathan</t>
  </si>
  <si>
    <t>Kerry</t>
  </si>
  <si>
    <t>PSP205</t>
  </si>
  <si>
    <t>Jiménez Cerrillos Luis</t>
  </si>
  <si>
    <t>DIAGEO</t>
  </si>
  <si>
    <t>PSP206</t>
  </si>
  <si>
    <t>Gracida German</t>
  </si>
  <si>
    <t>Pass Automotive Mexico</t>
  </si>
  <si>
    <t>PSP207</t>
  </si>
  <si>
    <t>Martinez Rojas Jose Antonio</t>
  </si>
  <si>
    <t>PSP208</t>
  </si>
  <si>
    <t>Peña Rodrigo</t>
  </si>
  <si>
    <t>Norgren</t>
  </si>
  <si>
    <t>PSP209</t>
  </si>
  <si>
    <t>Ayala Omar</t>
  </si>
  <si>
    <t>Mondelēz International / Jalisco</t>
  </si>
  <si>
    <t>PSP210</t>
  </si>
  <si>
    <t>Angel Macedo Miguel Angel</t>
  </si>
  <si>
    <t>PSP211</t>
  </si>
  <si>
    <t>Moreno Robles Ricardo</t>
  </si>
  <si>
    <t>EXFO QRO</t>
  </si>
  <si>
    <t>PSP212</t>
  </si>
  <si>
    <t>Hernadez Yesenia</t>
  </si>
  <si>
    <t>ISRI</t>
  </si>
  <si>
    <t>PSP213</t>
  </si>
  <si>
    <t>García Monsalvo Fernando</t>
  </si>
  <si>
    <t>Schweitzer Engineering Laboratories</t>
  </si>
  <si>
    <t>PSP214</t>
  </si>
  <si>
    <t>Barrientos Campos Rudel Antonio</t>
  </si>
  <si>
    <t>Grupo Antolin</t>
  </si>
  <si>
    <t>PSP215</t>
  </si>
  <si>
    <t>Jimenez Cristobal</t>
  </si>
  <si>
    <t>SKF</t>
  </si>
  <si>
    <t>PSP216</t>
  </si>
  <si>
    <t>Domínguez Quijada Josué Isaí</t>
  </si>
  <si>
    <t>ZKW</t>
  </si>
  <si>
    <t>PSP217</t>
  </si>
  <si>
    <t>Carrera Ramírez Carlos</t>
  </si>
  <si>
    <t>Gerdau Corsa / Planta Hidalgo</t>
  </si>
  <si>
    <t>PSP218</t>
  </si>
  <si>
    <t>Rodriguez Martinez Héctor</t>
  </si>
  <si>
    <t>GEMPSA</t>
  </si>
  <si>
    <t>PSP219</t>
  </si>
  <si>
    <t>Vargas Castillo Josue Israel</t>
  </si>
  <si>
    <t>Mondelez Escobedo</t>
  </si>
  <si>
    <t>PSP220</t>
  </si>
  <si>
    <t>Zapata Martines Raul</t>
  </si>
  <si>
    <t>LyondellBasell</t>
  </si>
  <si>
    <t>PSP221</t>
  </si>
  <si>
    <t>Valencia Saul</t>
  </si>
  <si>
    <t>Alsea</t>
  </si>
  <si>
    <t>PSP222</t>
  </si>
  <si>
    <t>Morales Cecilia</t>
  </si>
  <si>
    <t>SANHUA</t>
  </si>
  <si>
    <t>PSP223</t>
  </si>
  <si>
    <t>Guiteras Carlos</t>
  </si>
  <si>
    <t>ILPEA</t>
  </si>
  <si>
    <t>PSP224</t>
  </si>
  <si>
    <t>Maria Evangelista Tovar</t>
  </si>
  <si>
    <t>PSP225</t>
  </si>
  <si>
    <t>Solano Alejandro</t>
  </si>
  <si>
    <t>GENERAL MILLS</t>
  </si>
  <si>
    <t>PSP226</t>
  </si>
  <si>
    <t>Aguilar Bautista Walter</t>
  </si>
  <si>
    <t>PSP227</t>
  </si>
  <si>
    <t>Velarde Gabriel Carlos Uriel</t>
  </si>
  <si>
    <t>Sonoco Atizapan</t>
  </si>
  <si>
    <t>PSP228</t>
  </si>
  <si>
    <t>Pérez Uribe Rosa María </t>
  </si>
  <si>
    <t>Amazon</t>
  </si>
  <si>
    <t>PSP229</t>
  </si>
  <si>
    <t>Manuel Palma</t>
  </si>
  <si>
    <t>adidas</t>
  </si>
  <si>
    <t>PSP230</t>
  </si>
  <si>
    <t>Vania Hernandez Lara</t>
  </si>
  <si>
    <t>Mercado Libre</t>
  </si>
  <si>
    <t>PSP231</t>
  </si>
  <si>
    <t>Jose de Jesus Magdaleno Alvarado</t>
  </si>
  <si>
    <t>Kuehne Nagel</t>
  </si>
  <si>
    <t>PSP232</t>
  </si>
  <si>
    <t>Nuñez Rogelio</t>
  </si>
  <si>
    <t>ROKI</t>
  </si>
  <si>
    <t>PSP233</t>
  </si>
  <si>
    <t>Medina Daniel</t>
  </si>
  <si>
    <t>BAUMANN</t>
  </si>
  <si>
    <t>PSP234</t>
  </si>
  <si>
    <t>Cota Eduardo</t>
  </si>
  <si>
    <t>Clase Azul spirits</t>
  </si>
  <si>
    <t>PSP235</t>
  </si>
  <si>
    <t>Araujo Jessica</t>
  </si>
  <si>
    <t>Topsun</t>
  </si>
  <si>
    <t>PSP236</t>
  </si>
  <si>
    <t>PSP237</t>
  </si>
  <si>
    <t>Hernandez Ramirez Heberto</t>
  </si>
  <si>
    <t>Baltimore Aircoil Company</t>
  </si>
  <si>
    <t>PSP238</t>
  </si>
  <si>
    <t>Palacios Ibarra Hugo Alonso</t>
  </si>
  <si>
    <t>Tecconex</t>
  </si>
  <si>
    <t>PSP239</t>
  </si>
  <si>
    <t>Luis Gil</t>
  </si>
  <si>
    <t>Cleber</t>
  </si>
  <si>
    <t>PSP1</t>
  </si>
  <si>
    <t>Karina Lizbeth López Campos</t>
  </si>
  <si>
    <t>Clairos</t>
  </si>
  <si>
    <t>SFV</t>
  </si>
  <si>
    <t>2. Contacto Inicial</t>
  </si>
  <si>
    <t>Rebeca Ortiz</t>
  </si>
  <si>
    <t>PSP2</t>
  </si>
  <si>
    <t>Leobardo Mora Cuevas</t>
  </si>
  <si>
    <t>CMP Automotive</t>
  </si>
  <si>
    <t>PSP3</t>
  </si>
  <si>
    <t>Juan Pablo Marin Quintana</t>
  </si>
  <si>
    <t>Danfoss Power Solutions</t>
  </si>
  <si>
    <t>PSP4</t>
  </si>
  <si>
    <t>Karina Guajardo Zárate</t>
  </si>
  <si>
    <t>PSP6</t>
  </si>
  <si>
    <t xml:space="preserve">Ramon Magaña Blancas
</t>
  </si>
  <si>
    <t>Grupo Gonher</t>
  </si>
  <si>
    <t>PSP7</t>
  </si>
  <si>
    <t>Ricardo Gutierrez</t>
  </si>
  <si>
    <t>HFI</t>
  </si>
  <si>
    <t>PSP8</t>
  </si>
  <si>
    <t>Jose Saul Vega Vazquez</t>
  </si>
  <si>
    <t>Zoppas Industries</t>
  </si>
  <si>
    <t>PSP9</t>
  </si>
  <si>
    <t>Emmanuel Ledesma</t>
  </si>
  <si>
    <t>Joyson Safety Systems</t>
  </si>
  <si>
    <t>PSP10</t>
  </si>
  <si>
    <t>Miguel Saucedo Arandillas</t>
  </si>
  <si>
    <t>PEASA</t>
  </si>
  <si>
    <t>PSP11</t>
  </si>
  <si>
    <t xml:space="preserve">Jose Armando Zepahua Flores
</t>
  </si>
  <si>
    <t>Printpack</t>
  </si>
  <si>
    <t>PSP12</t>
  </si>
  <si>
    <t>Hector Vazquez Manjarrez</t>
  </si>
  <si>
    <t>Vitrocanceles</t>
  </si>
  <si>
    <t>7. Estimación / Cotización</t>
  </si>
  <si>
    <t>PSP13</t>
  </si>
  <si>
    <t>Martin Lopez Gutierrez</t>
  </si>
  <si>
    <t>Residencial</t>
  </si>
  <si>
    <t>PSP14</t>
  </si>
  <si>
    <t xml:space="preserve">Jesus Alejandro </t>
  </si>
  <si>
    <t>Mueller Montana</t>
  </si>
  <si>
    <t>Referido (Proveedor/Subcontratista)</t>
  </si>
  <si>
    <t>PSP15</t>
  </si>
  <si>
    <t>Ricardo Hernandez</t>
  </si>
  <si>
    <t>TENNECO</t>
  </si>
  <si>
    <t>PSP16</t>
  </si>
  <si>
    <t>Ana Trejo Ruiz</t>
  </si>
  <si>
    <t xml:space="preserve">Baomarc Automotive Solutions
</t>
  </si>
  <si>
    <t>PSP17</t>
  </si>
  <si>
    <t xml:space="preserve">Elena Pegueros
</t>
  </si>
  <si>
    <t>MPI PRODUCTS LLC</t>
  </si>
  <si>
    <t>PSP18</t>
  </si>
  <si>
    <t xml:space="preserve">Alain Ulisses Mandujano
</t>
  </si>
  <si>
    <t xml:space="preserve">Martinrea International
</t>
  </si>
  <si>
    <t>PSP19</t>
  </si>
  <si>
    <t xml:space="preserve">Lauro Cardona </t>
  </si>
  <si>
    <t xml:space="preserve">PALZIV  </t>
  </si>
  <si>
    <t>PSP20</t>
  </si>
  <si>
    <t>Hector Uscanga EHS</t>
  </si>
  <si>
    <t>Foamotive Mex SA de CV</t>
  </si>
  <si>
    <t>PSP21</t>
  </si>
  <si>
    <t>Martin Becerra</t>
  </si>
  <si>
    <t>TOYOTA TSUSHO</t>
  </si>
  <si>
    <t>Google Ads (Search)</t>
  </si>
  <si>
    <t>PSP22</t>
  </si>
  <si>
    <t>Osvaldo</t>
  </si>
  <si>
    <t>NATUFARM</t>
  </si>
  <si>
    <t>Visita en Frío (Prospección)</t>
  </si>
  <si>
    <t>PSP23</t>
  </si>
  <si>
    <t>Ursula Arredondo</t>
  </si>
  <si>
    <t>CENTRO DE NEGOCIOS BAJIO</t>
  </si>
  <si>
    <t>PSP24</t>
  </si>
  <si>
    <t>HUGO ALEMAN</t>
  </si>
  <si>
    <t>MELFI</t>
  </si>
  <si>
    <t>PSP25</t>
  </si>
  <si>
    <t xml:space="preserve">Ing. Omar Torres </t>
  </si>
  <si>
    <t>CLUB CENTURY</t>
  </si>
  <si>
    <t>PSP26</t>
  </si>
  <si>
    <t xml:space="preserve">Ing. Victor Cuarenta </t>
  </si>
  <si>
    <t>EUROCAST</t>
  </si>
  <si>
    <t>Celaya</t>
  </si>
  <si>
    <t>PSP27</t>
  </si>
  <si>
    <t>Sergio Antonio Ochoa Ramirez</t>
  </si>
  <si>
    <t>Schweitzer Engineering Laboratories, (S.L.P.)</t>
  </si>
  <si>
    <t>S.L.P.</t>
  </si>
  <si>
    <t>PSP28</t>
  </si>
  <si>
    <t xml:space="preserve">Luciano García Tovar </t>
  </si>
  <si>
    <t>GKN Automotive</t>
  </si>
  <si>
    <t>PSP29</t>
  </si>
  <si>
    <t>José Rafael Rosas Villanueva</t>
  </si>
  <si>
    <t>PiSA Farmacéutica</t>
  </si>
  <si>
    <t>Jalisco</t>
  </si>
  <si>
    <t>PSP30</t>
  </si>
  <si>
    <t xml:space="preserve">Ileana Belem Ayala Álvarez </t>
  </si>
  <si>
    <t>Querétaro</t>
  </si>
  <si>
    <t>PSP31</t>
  </si>
  <si>
    <t xml:space="preserve">Enrique Jimenez </t>
  </si>
  <si>
    <t>COFICAB</t>
  </si>
  <si>
    <t>PSP32</t>
  </si>
  <si>
    <t>Erika Gonzalez Molina</t>
  </si>
  <si>
    <t>Nemak</t>
  </si>
  <si>
    <t>PSP33</t>
  </si>
  <si>
    <t>Ricardo Zambrano</t>
  </si>
  <si>
    <t>Kluthe Group</t>
  </si>
  <si>
    <t>Puebla</t>
  </si>
  <si>
    <t>Redes Sociales (Facebook/Instagram)</t>
  </si>
  <si>
    <t>PSP34</t>
  </si>
  <si>
    <t>Alexis Lopez</t>
  </si>
  <si>
    <t>Fabrica Sombreros</t>
  </si>
  <si>
    <t>PSP35</t>
  </si>
  <si>
    <t>David Lugo</t>
  </si>
  <si>
    <t>Vesuvius</t>
  </si>
  <si>
    <t>PSP36</t>
  </si>
  <si>
    <t>Paulina Herrera</t>
  </si>
  <si>
    <t>Qualus</t>
  </si>
  <si>
    <t>Leon</t>
  </si>
  <si>
    <t>PSP37</t>
  </si>
  <si>
    <t>Ing. Ernesto Hernandez</t>
  </si>
  <si>
    <t>Units Mexico</t>
  </si>
  <si>
    <t>PSP38</t>
  </si>
  <si>
    <t>Ana Castro</t>
  </si>
  <si>
    <t>Teneria Vargas</t>
  </si>
  <si>
    <t>PSP39</t>
  </si>
  <si>
    <t>Rene</t>
  </si>
  <si>
    <t>MYL</t>
  </si>
  <si>
    <t>PSP40</t>
  </si>
  <si>
    <t>Sonia Medina García</t>
  </si>
  <si>
    <t>Laboratio Silanes</t>
  </si>
  <si>
    <t>PSP41</t>
  </si>
  <si>
    <t>Fabiola Fonseca</t>
  </si>
  <si>
    <t>PSP42</t>
  </si>
  <si>
    <t>Daniela Sauceda</t>
  </si>
  <si>
    <t>Freudenberg Filter</t>
  </si>
  <si>
    <t>PSP43</t>
  </si>
  <si>
    <t>Andres Hernandez</t>
  </si>
  <si>
    <t>MMM Americas</t>
  </si>
  <si>
    <t>PSP44</t>
  </si>
  <si>
    <t>Vanessa Gutierrez</t>
  </si>
  <si>
    <t>Sanac Mexcio</t>
  </si>
  <si>
    <t>PSP45</t>
  </si>
  <si>
    <t>Guillermo Rangel</t>
  </si>
  <si>
    <t>Ly-holding</t>
  </si>
  <si>
    <t>PSP46</t>
  </si>
  <si>
    <t>Salvador  Escalera</t>
  </si>
  <si>
    <t>Stalh</t>
  </si>
  <si>
    <t>PSP47</t>
  </si>
  <si>
    <t>Gabriel Palato</t>
  </si>
  <si>
    <t>Surtiglass</t>
  </si>
  <si>
    <t>PSP48</t>
  </si>
  <si>
    <t>Compras</t>
  </si>
  <si>
    <t xml:space="preserve">Roki Mexico </t>
  </si>
  <si>
    <t>PSP49</t>
  </si>
  <si>
    <t>Lucia Guerrero</t>
  </si>
  <si>
    <t>AKG LAGOS</t>
  </si>
  <si>
    <t>PSP50</t>
  </si>
  <si>
    <t>Eduardo</t>
  </si>
  <si>
    <t>Xin Point Mexico</t>
  </si>
  <si>
    <t>PSP51</t>
  </si>
  <si>
    <t>Anahi Olguin</t>
  </si>
  <si>
    <t xml:space="preserve">Hafele </t>
  </si>
  <si>
    <t>PSP52</t>
  </si>
  <si>
    <t>Kenia Marquez</t>
  </si>
  <si>
    <t xml:space="preserve">Koppert </t>
  </si>
  <si>
    <t>PSP53</t>
  </si>
  <si>
    <t>Jose Alfonso Gomez</t>
  </si>
  <si>
    <t>DME</t>
  </si>
  <si>
    <t>PSP54</t>
  </si>
  <si>
    <t>DanieL Ojeda</t>
  </si>
  <si>
    <t>Century Mold</t>
  </si>
  <si>
    <t>PSP55</t>
  </si>
  <si>
    <t>Jesus Mixtega</t>
  </si>
  <si>
    <t>Optoflux</t>
  </si>
  <si>
    <t>PSP56</t>
  </si>
  <si>
    <t>Jorge Gonzalez</t>
  </si>
  <si>
    <t>Marquardt</t>
  </si>
  <si>
    <t>PSP57</t>
  </si>
  <si>
    <t xml:space="preserve">Lic. Carlos Herandez </t>
  </si>
  <si>
    <t>TST MANUFACTURING DE MEXICO</t>
  </si>
  <si>
    <t>PSP58</t>
  </si>
  <si>
    <t xml:space="preserve">Antonio Serrano </t>
  </si>
  <si>
    <t>Restaurante Doña Lucha</t>
  </si>
  <si>
    <t>PSP59</t>
  </si>
  <si>
    <t>Daniela</t>
  </si>
  <si>
    <t>Formula TR</t>
  </si>
  <si>
    <t>PSP60</t>
  </si>
  <si>
    <t>Contadora Daniela</t>
  </si>
  <si>
    <t>Curtec</t>
  </si>
  <si>
    <t>PSP61</t>
  </si>
  <si>
    <t>Roberto Vazquez</t>
  </si>
  <si>
    <t>Comercial</t>
  </si>
  <si>
    <t>PSP62</t>
  </si>
  <si>
    <t>PSP63</t>
  </si>
  <si>
    <t>PSP64</t>
  </si>
  <si>
    <t>PSP65</t>
  </si>
  <si>
    <t>PSP66</t>
  </si>
  <si>
    <t>PSP67</t>
  </si>
  <si>
    <t>PSP68</t>
  </si>
  <si>
    <t>PSP69</t>
  </si>
  <si>
    <t>PSP70</t>
  </si>
  <si>
    <t>PSP71</t>
  </si>
  <si>
    <t>PSP72</t>
  </si>
  <si>
    <t>PSP73</t>
  </si>
  <si>
    <t>PSP74</t>
  </si>
  <si>
    <t>PSP75</t>
  </si>
  <si>
    <t>PSP76</t>
  </si>
  <si>
    <t>PSP77</t>
  </si>
  <si>
    <t>PSP78</t>
  </si>
  <si>
    <t>PSP79</t>
  </si>
  <si>
    <t>PSP80</t>
  </si>
  <si>
    <r>
      <rPr>
        <rFont val="&quot;Aptos Narrow&quot;, sans-serif"/>
        <color rgb="FF1155CC"/>
        <sz val="11.0"/>
        <u/>
      </rPr>
      <t>Ricardo Navarrete Garnica</t>
    </r>
  </si>
  <si>
    <t>Bright Packaging</t>
  </si>
  <si>
    <t>Marco Flores</t>
  </si>
  <si>
    <t>Pablo Reydezel Covarrubias</t>
  </si>
  <si>
    <t>Lear</t>
  </si>
  <si>
    <t>3. Calificación</t>
  </si>
  <si>
    <t>OMAR SAUCEDO BRIONES</t>
  </si>
  <si>
    <t>FlexnGate</t>
  </si>
  <si>
    <t>Javier Aragón Cano</t>
  </si>
  <si>
    <t>Interceramic</t>
  </si>
  <si>
    <t>Email Outbound (Prospección)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</si>
  <si>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</si>
  <si>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</si>
  <si>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</si>
  <si>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</si>
  <si>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</si>
  <si>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</si>
  <si>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</si>
  <si>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</si>
  <si>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</si>
  <si>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</si>
  <si>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</si>
  <si>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</si>
  <si>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</si>
  <si>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</si>
  <si>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14. Descartado / No Califica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</si>
  <si>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</si>
  <si>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</si>
  <si>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</si>
  <si>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</si>
  <si>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</si>
  <si>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</si>
  <si>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</si>
  <si>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</si>
  <si>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</si>
  <si>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</si>
  <si>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</si>
  <si>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</si>
  <si>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</si>
  <si>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</si>
  <si>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</si>
  <si>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</si>
  <si>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</si>
  <si>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</si>
  <si>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Congreso / Cámara / Networking</t>
  </si>
  <si>
    <t>Rubén Rocha</t>
  </si>
  <si>
    <t>Raldoss Inn</t>
  </si>
  <si>
    <t>Esperanza Saavedra</t>
  </si>
  <si>
    <t>Domiciliar</t>
  </si>
  <si>
    <t>Victor Perez</t>
  </si>
  <si>
    <t>Marco de la Cruz</t>
  </si>
  <si>
    <t>Continental Colinas</t>
  </si>
  <si>
    <t>Silao</t>
  </si>
  <si>
    <t>Otros</t>
  </si>
  <si>
    <t>Daniela Lara</t>
  </si>
  <si>
    <t>Eder Vivanco</t>
  </si>
  <si>
    <t>JLG</t>
  </si>
  <si>
    <t>Alfonso Compean</t>
  </si>
  <si>
    <t>SiBandas</t>
  </si>
  <si>
    <t>Pedro Flores</t>
  </si>
  <si>
    <t>Standard Profil</t>
  </si>
  <si>
    <t>PSP5</t>
  </si>
  <si>
    <t>Joel Rodríguez</t>
  </si>
  <si>
    <t>ZF Group</t>
  </si>
  <si>
    <t>Manuel Limón</t>
  </si>
  <si>
    <t>Radiall</t>
  </si>
  <si>
    <t>Sonora</t>
  </si>
  <si>
    <t>Iván Bello</t>
  </si>
  <si>
    <t>Kautex</t>
  </si>
  <si>
    <t>Manuel Márquez</t>
  </si>
  <si>
    <t>Eucomex</t>
  </si>
  <si>
    <t>Estado de México</t>
  </si>
  <si>
    <t>Carlos Ramírez</t>
  </si>
  <si>
    <t>Grupo Altex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</si>
  <si>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</si>
  <si>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</si>
  <si>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</si>
  <si>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</si>
  <si>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</si>
  <si>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</si>
  <si>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</si>
  <si>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</si>
  <si>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Mónica Arellano</t>
  </si>
  <si>
    <t>PIASA</t>
  </si>
  <si>
    <t>Nuevo Leon</t>
  </si>
  <si>
    <t>SFV + Bomba de Calor</t>
  </si>
  <si>
    <t>Hugo Ferrer</t>
  </si>
  <si>
    <t>Nexteer</t>
  </si>
  <si>
    <t>Oliver Olvera Fernández</t>
  </si>
  <si>
    <t>Hope Global</t>
  </si>
  <si>
    <t>Marissa Torres</t>
  </si>
  <si>
    <t>Pirelli</t>
  </si>
  <si>
    <t>6. Diseño de Solución / Pre-Ingeniería</t>
  </si>
  <si>
    <t>Mantenimiento</t>
  </si>
  <si>
    <t>Live Aqua</t>
  </si>
  <si>
    <t>San Miguel de Allende</t>
  </si>
  <si>
    <t>Hotel Stadium</t>
  </si>
  <si>
    <t>Valeria</t>
  </si>
  <si>
    <t>Hotel Othelo</t>
  </si>
  <si>
    <t>Bomba de Calor</t>
  </si>
  <si>
    <t>Hotel Villaseca</t>
  </si>
  <si>
    <t>Miguel Ángel Rodríguez</t>
  </si>
  <si>
    <t>Gesinso Energy</t>
  </si>
  <si>
    <t>Colombia</t>
  </si>
  <si>
    <t>Daniel Cazares</t>
  </si>
  <si>
    <t>Tupy</t>
  </si>
  <si>
    <t>Saltillo</t>
  </si>
  <si>
    <t>Pamela Perales</t>
  </si>
  <si>
    <t>Asahi Aluminum</t>
  </si>
  <si>
    <t>Alejandro Jiménez</t>
  </si>
  <si>
    <t>Star Médica</t>
  </si>
  <si>
    <t>Morelia</t>
  </si>
  <si>
    <t>Alejandro Coca</t>
  </si>
  <si>
    <t>Grupo Chedraui</t>
  </si>
  <si>
    <t>Carlos Alberto Chavez</t>
  </si>
  <si>
    <t>Summit Polymers</t>
  </si>
  <si>
    <t>Monterrey</t>
  </si>
  <si>
    <t>Jean Baptiste</t>
  </si>
  <si>
    <t>Walor Mex</t>
  </si>
  <si>
    <t>Irapuato</t>
  </si>
  <si>
    <t>Hotel Dreams Bahía</t>
  </si>
  <si>
    <t>Puerto Vallarta</t>
  </si>
  <si>
    <t>BC + SFV</t>
  </si>
  <si>
    <t>Hotel Conrad Punta Mita</t>
  </si>
  <si>
    <t>Punta Mita</t>
  </si>
  <si>
    <t>PSP81</t>
  </si>
  <si>
    <t>PSP82</t>
  </si>
  <si>
    <t>PSP83</t>
  </si>
  <si>
    <t>PSP84</t>
  </si>
  <si>
    <t>PSP85</t>
  </si>
  <si>
    <t>PSP86</t>
  </si>
  <si>
    <t>PSP87</t>
  </si>
  <si>
    <t>PSP88</t>
  </si>
  <si>
    <t>PSP89</t>
  </si>
  <si>
    <t>PSP90</t>
  </si>
  <si>
    <t>PSP91</t>
  </si>
  <si>
    <t>PSP92</t>
  </si>
  <si>
    <t>PSP93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</si>
  <si>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</si>
  <si>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</si>
  <si>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</si>
  <si>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</si>
  <si>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</si>
  <si>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</si>
  <si>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</si>
  <si>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CDMX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</si>
  <si>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</si>
  <si>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</si>
  <si>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</si>
  <si>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</si>
  <si>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</si>
  <si>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</si>
  <si>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</si>
  <si>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</si>
  <si>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</si>
  <si>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</si>
  <si>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</si>
  <si>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</si>
  <si>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</si>
  <si>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</si>
  <si>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</si>
  <si>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</si>
  <si>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</si>
  <si>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</si>
  <si>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</si>
  <si>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</si>
  <si>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</si>
  <si>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</si>
  <si>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</si>
  <si>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</si>
  <si>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</si>
  <si>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</si>
  <si>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</si>
  <si>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</si>
  <si>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</si>
  <si>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</si>
  <si>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</si>
  <si>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</si>
  <si>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</si>
  <si>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</si>
  <si>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</si>
  <si>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</si>
  <si>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</si>
  <si>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</si>
  <si>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</si>
  <si>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</si>
  <si>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</si>
  <si>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</si>
  <si>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</si>
  <si>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</si>
  <si>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</si>
  <si>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</si>
  <si>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</si>
  <si>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</si>
  <si>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</si>
  <si>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</si>
  <si>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</si>
  <si>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PSP131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</si>
  <si>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</si>
  <si>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</si>
  <si>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</si>
  <si>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</si>
  <si>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</si>
  <si>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</si>
  <si>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</si>
  <si>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</si>
  <si>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</si>
  <si>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</si>
  <si>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</si>
  <si>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</si>
  <si>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</si>
  <si>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</si>
  <si>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</si>
  <si>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</si>
  <si>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</si>
  <si>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</si>
  <si>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</si>
  <si>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</si>
  <si>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</si>
  <si>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</si>
  <si>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</si>
  <si>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</si>
  <si>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</si>
  <si>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</si>
  <si>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</si>
  <si>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</si>
  <si>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</si>
  <si>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</si>
  <si>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</si>
  <si>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</si>
  <si>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</si>
  <si>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</si>
  <si>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</si>
  <si>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</si>
  <si>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</si>
  <si>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</si>
  <si>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</si>
  <si>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</si>
  <si>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</si>
  <si>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</si>
  <si>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</si>
  <si>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</si>
  <si>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</si>
  <si>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</si>
  <si>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</si>
  <si>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</si>
  <si>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</si>
  <si>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</si>
  <si>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</si>
  <si>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</si>
  <si>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</si>
  <si>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</si>
  <si>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</si>
  <si>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</si>
  <si>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</si>
  <si>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</si>
  <si>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</si>
  <si>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</si>
  <si>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</si>
  <si>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</si>
  <si>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</si>
  <si>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</si>
  <si>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</si>
  <si>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</si>
  <si>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</si>
  <si>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</si>
  <si>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</si>
  <si>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</si>
  <si>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</si>
  <si>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</si>
  <si>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</si>
  <si>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</si>
  <si>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</si>
  <si>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</si>
  <si>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</si>
  <si>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</si>
  <si>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</si>
  <si>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</si>
  <si>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</si>
  <si>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</si>
  <si>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</si>
  <si>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</si>
  <si>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</si>
  <si>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</si>
  <si>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</si>
  <si>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</si>
  <si>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</si>
  <si>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</si>
  <si>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</si>
  <si>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</si>
  <si>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</si>
  <si>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</si>
  <si>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</si>
  <si>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</si>
  <si>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</si>
  <si>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</si>
  <si>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Jorge Chahín Jr</t>
  </si>
  <si>
    <t>Grupo Arquitech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</si>
  <si>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</si>
  <si>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</si>
  <si>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</si>
  <si>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</si>
  <si>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</si>
  <si>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</si>
  <si>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</si>
  <si>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</si>
  <si>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</si>
  <si>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</si>
  <si>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</si>
  <si>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</si>
  <si>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</si>
  <si>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</si>
  <si>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</si>
  <si>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</si>
  <si>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</si>
  <si>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</si>
  <si>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</si>
  <si>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</si>
  <si>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</si>
  <si>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</si>
  <si>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</si>
  <si>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</si>
  <si>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</si>
  <si>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</si>
  <si>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</si>
  <si>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</si>
  <si>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</si>
  <si>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</si>
  <si>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</si>
  <si>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</si>
  <si>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</si>
  <si>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</si>
  <si>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</si>
  <si>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</si>
  <si>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</si>
  <si>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</si>
  <si>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</si>
  <si>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</si>
  <si>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</si>
  <si>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</si>
  <si>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</si>
  <si>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</si>
  <si>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</si>
  <si>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</si>
  <si>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</si>
  <si>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</si>
  <si>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</si>
  <si>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</si>
  <si>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</si>
  <si>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</si>
  <si>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</si>
  <si>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</si>
  <si>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</si>
  <si>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</si>
  <si>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</si>
  <si>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</si>
  <si>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</si>
  <si>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</si>
  <si>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</si>
  <si>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</si>
  <si>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</si>
  <si>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</si>
  <si>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</si>
  <si>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</si>
  <si>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</si>
  <si>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</si>
  <si>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</si>
  <si>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</si>
  <si>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</si>
  <si>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</si>
  <si>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</si>
  <si>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</si>
  <si>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</si>
  <si>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</si>
  <si>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</si>
  <si>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</si>
  <si>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</si>
  <si>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</si>
  <si>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</si>
  <si>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</si>
  <si>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</si>
  <si>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</si>
  <si>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</si>
  <si>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</si>
  <si>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5. Visita Técnica / Diagnóstico en Sitio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</si>
  <si>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</si>
  <si>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</si>
  <si>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</si>
  <si>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</si>
  <si>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</si>
  <si>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</si>
  <si>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</si>
  <si>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</si>
  <si>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</si>
  <si>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</si>
  <si>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</si>
  <si>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</si>
  <si>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</si>
  <si>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</si>
  <si>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</si>
  <si>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</si>
  <si>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</si>
  <si>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</si>
  <si>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</si>
  <si>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</si>
  <si>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</si>
  <si>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</si>
  <si>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</si>
  <si>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</si>
  <si>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</si>
  <si>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</si>
  <si>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</si>
  <si>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</si>
  <si>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</si>
  <si>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</si>
  <si>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</si>
  <si>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</si>
  <si>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</si>
  <si>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</si>
  <si>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</si>
  <si>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</si>
  <si>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</si>
  <si>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</si>
  <si>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</si>
  <si>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</si>
  <si>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</si>
  <si>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</si>
  <si>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</si>
  <si>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</si>
  <si>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</si>
  <si>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</si>
  <si>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</si>
  <si>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</si>
  <si>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</si>
  <si>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</si>
  <si>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</si>
  <si>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</si>
  <si>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</si>
  <si>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</si>
  <si>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</si>
  <si>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</si>
  <si>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</si>
  <si>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</si>
  <si>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</si>
  <si>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</si>
  <si>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</si>
  <si>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</si>
  <si>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</si>
  <si>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</si>
  <si>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</si>
  <si>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</si>
  <si>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</si>
  <si>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</si>
  <si>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</si>
  <si>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12. Cierre de Venta (Contrato / OC)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</si>
  <si>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</si>
  <si>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</si>
  <si>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</si>
  <si>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</si>
  <si>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</si>
  <si>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</si>
  <si>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</si>
  <si>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</si>
  <si>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</si>
  <si>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</si>
  <si>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</si>
  <si>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</si>
  <si>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</si>
  <si>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</si>
  <si>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</si>
  <si>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</si>
  <si>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</si>
  <si>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</si>
  <si>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</si>
  <si>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</si>
  <si>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</si>
  <si>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</si>
  <si>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</si>
  <si>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</si>
  <si>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</si>
  <si>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 xml:space="preserve">Jorge Chahín </t>
  </si>
  <si>
    <t>Moisés Gómez (Xóchitl Gálvez)</t>
  </si>
  <si>
    <t>Edificios Inteligentes</t>
  </si>
  <si>
    <t>Mexico</t>
  </si>
  <si>
    <t>Mauricio Chahín</t>
  </si>
  <si>
    <t>Jorge Francisco Gaona</t>
  </si>
  <si>
    <t>Seica</t>
  </si>
  <si>
    <t>Tijuana y EdoMex</t>
  </si>
  <si>
    <t>Ing. Juan José Risoul</t>
  </si>
  <si>
    <t>Grupo Sacmag</t>
  </si>
  <si>
    <t>Ing. Álvaro Arreguín</t>
  </si>
  <si>
    <t>Rehau</t>
  </si>
  <si>
    <t>Ing. Octavio González</t>
  </si>
  <si>
    <t>Constructora Insur</t>
  </si>
  <si>
    <t>Sr. José Honorato</t>
  </si>
  <si>
    <t>Plaza Sol de Cuernavaca</t>
  </si>
  <si>
    <t>Cuernavaca, Morelos</t>
  </si>
  <si>
    <t>Fernando García Estrada</t>
  </si>
  <si>
    <t>Grupo Ebor</t>
  </si>
  <si>
    <t>Ing. Alberto Kababie</t>
  </si>
  <si>
    <t>Biotécnica Plástica SA DE CV.</t>
  </si>
  <si>
    <t>Lic. Héctor Travilla</t>
  </si>
  <si>
    <t>General Motors (Agencia)</t>
  </si>
  <si>
    <t>Sr. Julián de Nicolás Gutiérrez</t>
  </si>
  <si>
    <t>Diversos negocios</t>
  </si>
  <si>
    <t>Arq. José Luis González</t>
  </si>
  <si>
    <t>Turner &amp; Townsend</t>
  </si>
  <si>
    <t>Isaac Meemun</t>
  </si>
  <si>
    <t>Gasolinera</t>
  </si>
  <si>
    <t xml:space="preserve">Ciudad de México </t>
  </si>
  <si>
    <t>Arq. Jorge Carreño</t>
  </si>
  <si>
    <t>CDMX y Bajío</t>
  </si>
  <si>
    <t>13. Kickoff / Inicio de Proyecto</t>
  </si>
  <si>
    <t>Miguel Martínez</t>
  </si>
  <si>
    <t>Kidzania</t>
  </si>
  <si>
    <t>Ing. Arq. José Adrián León Padilla</t>
  </si>
  <si>
    <t xml:space="preserve">Mercado Libre </t>
  </si>
  <si>
    <t>Wynny</t>
  </si>
  <si>
    <t>wynny</t>
  </si>
  <si>
    <t>DESMEX SOLAR</t>
  </si>
  <si>
    <t>Ana López</t>
  </si>
  <si>
    <t>Sr. Francisco Medina</t>
  </si>
  <si>
    <t>Frajuma (Proyecto 2)</t>
  </si>
  <si>
    <t>Daniel Tovar Sánchez</t>
  </si>
  <si>
    <t>Acerta</t>
  </si>
  <si>
    <t>SFV Yy BC</t>
  </si>
  <si>
    <t>Arq. Jaime Mercado</t>
  </si>
  <si>
    <t>Edificark</t>
  </si>
  <si>
    <t>Alberto García Valladares</t>
  </si>
  <si>
    <t>SFV Residencial</t>
  </si>
  <si>
    <t>Arq. Jacobo Micha Mizrahi / Arq. Jéssica Steiner</t>
  </si>
  <si>
    <t>Archetonic</t>
  </si>
  <si>
    <t>Ing. Roger Berber</t>
  </si>
  <si>
    <t>Pacific Solar</t>
  </si>
  <si>
    <t>Mazatlán y Centro</t>
  </si>
  <si>
    <t>Componentes</t>
  </si>
  <si>
    <t>Saroma</t>
  </si>
  <si>
    <t>Ing. Arturo Lozano</t>
  </si>
  <si>
    <t>Grupo Posadas</t>
  </si>
  <si>
    <t>México</t>
  </si>
  <si>
    <t>Arq. Daniela Castro</t>
  </si>
  <si>
    <t>JWA</t>
  </si>
  <si>
    <t>SFV + BC + BiPV</t>
  </si>
  <si>
    <t>Carlos Rodríguez Medrano / Bruno Cireti</t>
  </si>
  <si>
    <t>Grupo MRP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</si>
  <si>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</si>
  <si>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</si>
  <si>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</si>
  <si>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</si>
  <si>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</si>
  <si>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</si>
  <si>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</si>
  <si>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</si>
  <si>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</si>
  <si>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</si>
  <si>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</si>
  <si>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</si>
  <si>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</si>
  <si>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</si>
  <si>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</si>
  <si>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</si>
  <si>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</si>
  <si>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</si>
  <si>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</si>
  <si>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</si>
  <si>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</si>
  <si>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</si>
  <si>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</si>
  <si>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</si>
  <si>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</si>
  <si>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</si>
  <si>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</si>
  <si>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</si>
  <si>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>Columna 1</t>
  </si>
  <si>
    <t>Columna 2</t>
  </si>
  <si>
    <t>Columna 3</t>
  </si>
  <si>
    <t>Columna 4</t>
  </si>
  <si>
    <t>Columna 5</t>
  </si>
  <si>
    <t>Columna 6</t>
  </si>
  <si>
    <t>Columna 7</t>
  </si>
  <si>
    <t>Columna 8</t>
  </si>
  <si>
    <t>Columna 9</t>
  </si>
  <si>
    <t>Columna 10</t>
  </si>
  <si>
    <t>Columna 11</t>
  </si>
  <si>
    <t>NO de prospectos FEBRERO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</si>
  <si>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</si>
  <si>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</si>
  <si>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</si>
  <si>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</si>
  <si>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</si>
  <si>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</si>
  <si>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</si>
  <si>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</si>
  <si>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</si>
  <si>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</si>
  <si>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</si>
  <si>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</si>
  <si>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</si>
  <si>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</si>
  <si>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</si>
  <si>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</si>
  <si>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</si>
  <si>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</si>
  <si>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</si>
  <si>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</si>
  <si>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</si>
  <si>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</si>
  <si>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</si>
  <si>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</si>
  <si>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</si>
  <si>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</si>
  <si>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</si>
  <si>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</si>
  <si>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</si>
  <si>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</si>
  <si>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</si>
  <si>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</si>
  <si>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</si>
  <si>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</si>
  <si>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</si>
  <si>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</si>
  <si>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</si>
  <si>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</si>
  <si>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</si>
  <si>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</si>
  <si>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</si>
  <si>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</si>
  <si>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</si>
  <si>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</si>
  <si>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</si>
  <si>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</si>
  <si>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</si>
  <si>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</si>
  <si>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</si>
  <si>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Sitio Web (Formulario)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</si>
  <si>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</si>
  <si>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</si>
  <si>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</si>
  <si>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</si>
  <si>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</si>
  <si>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</si>
  <si>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</si>
  <si>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</si>
  <si>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</si>
  <si>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</si>
  <si>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</si>
  <si>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</si>
  <si>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</si>
  <si>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</si>
  <si>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</si>
  <si>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</si>
  <si>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</si>
  <si>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</si>
  <si>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</si>
  <si>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</si>
  <si>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</si>
  <si>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</si>
  <si>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</si>
  <si>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</si>
  <si>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</si>
  <si>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</si>
  <si>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</si>
  <si>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</si>
  <si>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</si>
  <si>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</si>
  <si>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</si>
  <si>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</si>
  <si>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</si>
  <si>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</si>
  <si>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</si>
  <si>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</si>
  <si>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</si>
  <si>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</si>
  <si>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</si>
  <si>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</si>
  <si>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</si>
  <si>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</si>
  <si>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</si>
  <si>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</si>
  <si>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</si>
  <si>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</si>
  <si>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</si>
  <si>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</si>
  <si>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</si>
  <si>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</si>
  <si>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</si>
  <si>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</si>
  <si>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</si>
  <si>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</si>
  <si>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rFont val="&quot;Aptos Narrow&quot;, sans-serif"/>
        <color rgb="FF1155CC"/>
        <sz val="11.0"/>
        <u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</si>
  <si>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</si>
  <si>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</si>
  <si>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</si>
  <si>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</si>
  <si>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</si>
  <si>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</si>
  <si>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</si>
  <si>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</si>
  <si>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</si>
  <si>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</si>
  <si>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</si>
  <si>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</si>
  <si>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</si>
  <si>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</si>
  <si>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</si>
  <si>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</si>
  <si>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</si>
  <si>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</si>
  <si>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</si>
  <si>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</si>
  <si>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</si>
  <si>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</si>
  <si>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</si>
  <si>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</si>
  <si>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</si>
  <si>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</si>
  <si>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</si>
  <si>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</si>
  <si>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</si>
  <si>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</si>
  <si>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</si>
  <si>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</si>
  <si>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rFont val="&quot;Aptos Narrow&quot;, sans-serif"/>
        <color rgb="FF1155CC"/>
        <sz val="11.0"/>
        <u/>
      </rPr>
      <t>JJesus Rivas Jimenez</t>
    </r>
  </si>
  <si>
    <t>Mac Cormick</t>
  </si>
  <si>
    <r>
      <rPr>
        <rFont val="&quot;Aptos Narrow&quot;, sans-serif"/>
        <color rgb="FF1155CC"/>
        <sz val="11.0"/>
        <u/>
      </rPr>
      <t>Erik Garcia López</t>
    </r>
  </si>
  <si>
    <t>Frialsa Frigoríficos</t>
  </si>
  <si>
    <r>
      <rPr>
        <rFont val="&quot;Aptos Narrow&quot;, sans-serif"/>
        <color rgb="FF1155CC"/>
        <sz val="11.0"/>
        <u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</si>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</sst>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rgb="FF0A53A8"/>
      <name val="Roboto"/>
    </font>
    <font>
      <color rgb="FF434343"/>
      <name val="Roboto"/>
    </font>
    <font>
      <u/>
      <color theme="1"/>
      <name val="Arial"/>
      <scheme val="minor"/>
    </font>
    <font>
      <u/>
      <sz val="11.0"/>
      <color rgb="FF0000FF"/>
      <name val="&quot;Aptos Narrow&quot;"/>
    </font>
    <font>
      <color theme="1"/>
      <name val="Arial"/>
    </font>
    <font>
      <color rgb="FFB10202"/>
      <name val="Roboto"/>
    </font>
    <font>
      <color rgb="FF473821"/>
      <name val="Roboto"/>
    </font>
    <font>
      <u/>
      <color rgb="FF434343"/>
      <name val="Roboto"/>
    </font>
    <font>
      <u/>
      <color rgb="FF434343"/>
      <name val="Roboto"/>
    </font>
    <font>
      <color rgb="FF753800"/>
      <name val="Roboto"/>
    </font>
    <font>
      <color rgb="FF11734B"/>
      <name val="Roboto"/>
    </font>
    <font>
      <color rgb="FF3D3D3D"/>
      <name val="Roboto"/>
    </font>
    <font>
      <u/>
      <color rgb="FF434343"/>
      <name val="Roboto"/>
    </font>
    <font>
      <u/>
      <color theme="1"/>
      <name val="Arial"/>
      <scheme val="minor"/>
    </font>
    <font>
      <b/>
      <color theme="1"/>
      <name val="Arial"/>
      <scheme val="minor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  <name val="Roboto"/>
    </font>
    <font>
      <u/>
      <color rgb="FF434343"/>
      <name val="Roboto"/>
    </font>
    <font>
      <u/>
      <color rgb="FF434343"/>
      <name val="Roboto"/>
    </font>
    <font>
      <u/>
      <color rgb="FF434343"/>
      <name val="Roboto"/>
    </font>
    <font>
      <u/>
      <color rgb="FF434343"/>
      <name val="Roboto"/>
    </font>
    <font>
      <u/>
      <color theme="1"/>
      <name val="Arial"/>
      <scheme val="minor"/>
    </font>
    <font>
      <u/>
      <color theme="1"/>
      <name val="Arial"/>
      <scheme val="minor"/>
    </font>
    <font>
      <color rgb="FF215A6C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</border>
    <border>
      <left style="thin">
        <color rgb="FF44B3E1"/>
      </left>
      <top style="thin">
        <color rgb="FF44B3E1"/>
      </top>
      <bottom style="thin">
        <color rgb="FF44B3E1"/>
      </bottom>
    </border>
  </borders>
  <cellStyleXfs count="1">
    <xf borderId="0" fillId="0" fontId="0" numFmtId="0" applyAlignment="1" applyFont="1"/>
  </cellStyleXfs>
  <cellXfs count="18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2" fontId="1" numFmtId="49" xfId="0" applyAlignment="1" applyFill="1" applyFont="1" applyNumberFormat="1">
      <alignment readingOrder="0" shrinkToFit="0" vertical="center" wrapText="1"/>
    </xf>
    <xf borderId="0" fillId="2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0" xfId="0" applyAlignment="1" applyFont="1" applyNumberFormat="1">
      <alignment shrinkToFit="0" vertical="center" wrapText="0"/>
    </xf>
    <xf borderId="0" fillId="3" fontId="2" numFmtId="0" xfId="0" applyAlignment="1" applyFill="1" applyFont="1">
      <alignment readingOrder="0" shrinkToFit="0" vertical="center" wrapText="0"/>
    </xf>
    <xf borderId="0" fillId="3" fontId="3" numFmtId="49" xfId="0" applyAlignment="1" applyFont="1" applyNumberFormat="1">
      <alignment readingOrder="0" shrinkToFit="0" vertical="center" wrapText="0"/>
    </xf>
    <xf borderId="1" fillId="0" fontId="1" numFmtId="49" xfId="0" applyAlignment="1" applyBorder="1" applyFont="1" applyNumberFormat="1">
      <alignment readingOrder="0" shrinkToFit="0" vertical="center" wrapText="0"/>
    </xf>
    <xf borderId="1" fillId="2" fontId="1" numFmtId="49" xfId="0" applyAlignment="1" applyBorder="1" applyFont="1" applyNumberFormat="1">
      <alignment readingOrder="0" shrinkToFit="0" vertical="center" wrapText="1"/>
    </xf>
    <xf borderId="1" fillId="2" fontId="1" numFmtId="49" xfId="0" applyAlignment="1" applyBorder="1" applyFont="1" applyNumberForma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164" xfId="0" applyAlignment="1" applyBorder="1" applyFont="1" applyNumberForma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10" xfId="0" applyAlignment="1" applyBorder="1" applyFont="1" applyNumberFormat="1">
      <alignment shrinkToFit="0" vertical="center" wrapText="0"/>
    </xf>
    <xf borderId="1" fillId="3" fontId="2" numFmtId="0" xfId="0" applyAlignment="1" applyBorder="1" applyFont="1">
      <alignment readingOrder="0" shrinkToFit="0" vertical="center" wrapText="0"/>
    </xf>
    <xf borderId="2" fillId="3" fontId="3" numFmtId="49" xfId="0" applyAlignment="1" applyBorder="1" applyFont="1" applyNumberFormat="1">
      <alignment readingOrder="0" shrinkToFit="0" vertical="center" wrapText="0"/>
    </xf>
    <xf borderId="3" fillId="0" fontId="1" numFmtId="49" xfId="0" applyAlignment="1" applyBorder="1" applyFont="1" applyNumberFormat="1">
      <alignment readingOrder="0" shrinkToFit="0" vertical="center" wrapText="0"/>
    </xf>
    <xf borderId="3" fillId="2" fontId="1" numFmtId="49" xfId="0" applyAlignment="1" applyBorder="1" applyFont="1" applyNumberFormat="1">
      <alignment readingOrder="0" shrinkToFit="0" vertical="center" wrapText="1"/>
    </xf>
    <xf borderId="3" fillId="2" fontId="1" numFmtId="49" xfId="0" applyAlignment="1" applyBorder="1" applyFont="1" applyNumberFormat="1">
      <alignment shrinkToFit="0" vertical="center" wrapText="0"/>
    </xf>
    <xf borderId="3" fillId="0" fontId="1" numFmtId="0" xfId="0" applyAlignment="1" applyBorder="1" applyFont="1">
      <alignment readingOrder="0" shrinkToFit="0" vertical="center" wrapText="0"/>
    </xf>
    <xf borderId="3" fillId="0" fontId="1" numFmtId="164" xfId="0" applyAlignment="1" applyBorder="1" applyFont="1" applyNumberFormat="1">
      <alignment readingOrder="0" shrinkToFit="0" vertical="center" wrapText="0"/>
    </xf>
    <xf borderId="3" fillId="0" fontId="1" numFmtId="0" xfId="0" applyAlignment="1" applyBorder="1" applyFont="1">
      <alignment readingOrder="0" shrinkToFit="0" vertical="center" wrapText="0"/>
    </xf>
    <xf borderId="3" fillId="0" fontId="1" numFmtId="10" xfId="0" applyAlignment="1" applyBorder="1" applyFont="1" applyNumberFormat="1">
      <alignment shrinkToFit="0" vertical="center" wrapText="0"/>
    </xf>
    <xf borderId="3" fillId="3" fontId="2" numFmtId="0" xfId="0" applyAlignment="1" applyBorder="1" applyFont="1">
      <alignment readingOrder="0" shrinkToFit="0" vertical="center" wrapText="0"/>
    </xf>
    <xf borderId="4" fillId="3" fontId="3" numFmtId="49" xfId="0" applyAlignment="1" applyBorder="1" applyFont="1" applyNumberFormat="1">
      <alignment readingOrder="0" shrinkToFit="0" vertical="center" wrapText="0"/>
    </xf>
    <xf borderId="3" fillId="0" fontId="1" numFmtId="164" xfId="0" applyAlignment="1" applyBorder="1" applyFont="1" applyNumberFormat="1">
      <alignment shrinkToFit="0" vertical="center" wrapText="0"/>
    </xf>
    <xf borderId="3" fillId="0" fontId="1" numFmtId="0" xfId="0" applyAlignment="1" applyBorder="1" applyFont="1">
      <alignment shrinkToFit="0" vertical="center" wrapText="0"/>
    </xf>
    <xf borderId="3" fillId="3" fontId="2" numFmtId="0" xfId="0" applyAlignment="1" applyBorder="1" applyFont="1">
      <alignment shrinkToFit="0" vertical="center" wrapText="0"/>
    </xf>
    <xf borderId="1" fillId="0" fontId="1" numFmtId="164" xfId="0" applyAlignment="1" applyBorder="1" applyFont="1" applyNumberFormat="1">
      <alignment shrinkToFit="0" vertical="center" wrapText="0"/>
    </xf>
    <xf borderId="1" fillId="3" fontId="2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3" fontId="2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2" fontId="1" numFmtId="49" xfId="0" applyAlignment="1" applyFont="1" applyNumberFormat="1">
      <alignment readingOrder="0" shrinkToFit="0" vertical="center" wrapText="0"/>
    </xf>
    <xf borderId="0" fillId="2" fontId="4" numFmtId="49" xfId="0" applyAlignment="1" applyFont="1" applyNumberFormat="1">
      <alignment readingOrder="0" shrinkToFit="0" vertical="center" wrapText="1"/>
    </xf>
    <xf borderId="5" fillId="0" fontId="5" numFmtId="49" xfId="0" applyAlignment="1" applyBorder="1" applyFont="1" applyNumberFormat="1">
      <alignment readingOrder="0" shrinkToFit="0" vertical="center" wrapText="0"/>
    </xf>
    <xf borderId="0" fillId="3" fontId="6" numFmtId="49" xfId="0" applyAlignment="1" applyFont="1" applyNumberFormat="1">
      <alignment shrinkToFit="0" vertical="center" wrapText="0"/>
    </xf>
    <xf borderId="0" fillId="3" fontId="7" numFmtId="0" xfId="0" applyAlignment="1" applyFont="1">
      <alignment readingOrder="0" shrinkToFit="0" vertical="center" wrapText="0"/>
    </xf>
    <xf borderId="0" fillId="3" fontId="3" numFmtId="164" xfId="0" applyAlignment="1" applyFont="1" applyNumberFormat="1">
      <alignment horizontal="right" readingOrder="0" shrinkToFit="0" vertical="center" wrapText="1"/>
    </xf>
    <xf borderId="0" fillId="3" fontId="6" numFmtId="0" xfId="0" applyAlignment="1" applyFont="1">
      <alignment readingOrder="0" shrinkToFit="0" vertical="center" wrapText="0"/>
    </xf>
    <xf borderId="0" fillId="3" fontId="6" numFmtId="10" xfId="0" applyAlignment="1" applyFont="1" applyNumberFormat="1">
      <alignment shrinkToFit="0" vertical="center" wrapText="0"/>
    </xf>
    <xf borderId="0" fillId="3" fontId="8" numFmtId="0" xfId="0" applyAlignment="1" applyFont="1">
      <alignment readingOrder="0" shrinkToFit="0" vertical="center" wrapText="0"/>
    </xf>
    <xf borderId="0" fillId="3" fontId="3" numFmtId="49" xfId="0" applyAlignment="1" applyFont="1" applyNumberFormat="1">
      <alignment shrinkToFit="0" vertical="center" wrapText="0"/>
    </xf>
    <xf borderId="0" fillId="3" fontId="9" numFmtId="49" xfId="0" applyAlignment="1" applyFont="1" applyNumberFormat="1">
      <alignment shrinkToFit="0" vertical="center" wrapText="0"/>
    </xf>
    <xf borderId="0" fillId="3" fontId="3" numFmtId="164" xfId="0" applyAlignment="1" applyFont="1" applyNumberFormat="1">
      <alignment horizontal="right" shrinkToFit="0" vertical="center" wrapText="1"/>
    </xf>
    <xf borderId="0" fillId="3" fontId="8" numFmtId="0" xfId="0" applyAlignment="1" applyFont="1">
      <alignment shrinkToFit="0" vertical="center" wrapText="0"/>
    </xf>
    <xf borderId="0" fillId="4" fontId="10" numFmtId="49" xfId="0" applyAlignment="1" applyFill="1" applyFont="1" applyNumberFormat="1">
      <alignment shrinkToFit="0" vertical="center" wrapText="0"/>
    </xf>
    <xf borderId="0" fillId="4" fontId="3" numFmtId="49" xfId="0" applyAlignment="1" applyFont="1" applyNumberFormat="1">
      <alignment shrinkToFit="0" vertical="center" wrapText="0"/>
    </xf>
    <xf borderId="0" fillId="4" fontId="6" numFmtId="49" xfId="0" applyAlignment="1" applyFont="1" applyNumberFormat="1">
      <alignment shrinkToFit="0" vertical="center" wrapText="0"/>
    </xf>
    <xf borderId="0" fillId="4" fontId="7" numFmtId="0" xfId="0" applyAlignment="1" applyFont="1">
      <alignment readingOrder="0" shrinkToFit="0" vertical="center" wrapText="0"/>
    </xf>
    <xf borderId="0" fillId="4" fontId="3" numFmtId="164" xfId="0" applyAlignment="1" applyFont="1" applyNumberFormat="1">
      <alignment horizontal="right" shrinkToFit="0" vertical="center" wrapText="1"/>
    </xf>
    <xf borderId="0" fillId="4" fontId="6" numFmtId="0" xfId="0" applyAlignment="1" applyFont="1">
      <alignment readingOrder="0" shrinkToFit="0" vertical="center" wrapText="0"/>
    </xf>
    <xf borderId="0" fillId="4" fontId="6" numFmtId="10" xfId="0" applyAlignment="1" applyFont="1" applyNumberFormat="1">
      <alignment shrinkToFit="0" vertical="center" wrapText="0"/>
    </xf>
    <xf borderId="0" fillId="4" fontId="2" numFmtId="0" xfId="0" applyAlignment="1" applyFont="1">
      <alignment shrinkToFit="0" vertical="center" wrapText="1"/>
    </xf>
    <xf borderId="0" fillId="4" fontId="11" numFmtId="0" xfId="0" applyAlignment="1" applyFont="1">
      <alignment shrinkToFit="0" vertical="center" wrapText="0"/>
    </xf>
    <xf borderId="0" fillId="4" fontId="12" numFmtId="0" xfId="0" applyAlignment="1" applyFont="1">
      <alignment shrinkToFit="0" vertical="center" wrapText="0"/>
    </xf>
    <xf borderId="0" fillId="4" fontId="8" numFmtId="0" xfId="0" applyAlignment="1" applyFont="1">
      <alignment shrinkToFit="0" vertical="center" wrapText="0"/>
    </xf>
    <xf borderId="0" fillId="3" fontId="13" numFmtId="0" xfId="0" applyAlignment="1" applyFont="1">
      <alignment readingOrder="0" shrinkToFit="0" vertical="center" wrapText="0"/>
    </xf>
    <xf borderId="0" fillId="3" fontId="6" numFmtId="164" xfId="0" applyAlignment="1" applyFont="1" applyNumberFormat="1">
      <alignment shrinkToFit="0" vertical="center" wrapText="0"/>
    </xf>
    <xf borderId="0" fillId="3" fontId="2" numFmtId="0" xfId="0" applyAlignment="1" applyFont="1">
      <alignment shrinkToFit="0" vertical="center" wrapText="1"/>
    </xf>
    <xf borderId="0" fillId="3" fontId="7" numFmtId="0" xfId="0" applyAlignment="1" applyFont="1">
      <alignment shrinkToFit="0" vertical="center" wrapText="0"/>
    </xf>
    <xf borderId="0" fillId="4" fontId="7" numFmtId="0" xfId="0" applyAlignment="1" applyFont="1">
      <alignment shrinkToFit="0" vertical="center" wrapText="0"/>
    </xf>
    <xf borderId="0" fillId="4" fontId="13" numFmtId="0" xfId="0" applyAlignment="1" applyFont="1">
      <alignment readingOrder="0" shrinkToFit="0" vertical="center" wrapText="0"/>
    </xf>
    <xf borderId="0" fillId="4" fontId="6" numFmtId="164" xfId="0" applyAlignment="1" applyFont="1" applyNumberFormat="1">
      <alignment shrinkToFit="0" vertical="center" wrapText="0"/>
    </xf>
    <xf borderId="0" fillId="4" fontId="14" numFmtId="49" xfId="0" applyAlignment="1" applyFont="1" applyNumberFormat="1">
      <alignment readingOrder="0" shrinkToFit="0" vertical="center" wrapText="0"/>
    </xf>
    <xf borderId="0" fillId="3" fontId="3" numFmtId="164" xfId="0" applyAlignment="1" applyFont="1" applyNumberFormat="1">
      <alignment horizontal="right" shrinkToFit="0" vertical="center" wrapText="0"/>
    </xf>
    <xf borderId="0" fillId="0" fontId="1" numFmtId="49" xfId="0" applyAlignment="1" applyFont="1" applyNumberFormat="1">
      <alignment readingOrder="0" shrinkToFit="0" vertical="center" wrapText="1"/>
    </xf>
    <xf borderId="0" fillId="2" fontId="15" numFmtId="49" xfId="0" applyAlignment="1" applyFont="1" applyNumberForma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164" xfId="0" applyAlignment="1" applyFont="1" applyNumberForma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2" fontId="1" numFmtId="10" xfId="0" applyAlignment="1" applyFont="1" applyNumberFormat="1">
      <alignment readingOrder="0" shrinkToFit="0" vertical="center" wrapText="1"/>
    </xf>
    <xf borderId="0" fillId="0" fontId="16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49" xfId="0" applyAlignment="1" applyFont="1" applyNumberFormat="1">
      <alignment readingOrder="0" shrinkToFit="0" vertical="center" wrapText="1"/>
    </xf>
    <xf borderId="0" fillId="2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2" fontId="17" numFmtId="49" xfId="0" applyAlignment="1" applyFont="1" applyNumberFormat="1">
      <alignment readingOrder="0" shrinkToFit="0" vertical="center" wrapText="1"/>
    </xf>
    <xf borderId="0" fillId="2" fontId="1" numFmtId="49" xfId="0" applyAlignment="1" applyFont="1" applyNumberForma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164" xfId="0" applyAlignment="1" applyFont="1" applyNumberForma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2" fontId="1" numFmtId="10" xfId="0" applyAlignment="1" applyFont="1" applyNumberForma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2" fontId="1" numFmtId="49" xfId="0" applyAlignment="1" applyFont="1" applyNumberFormat="1">
      <alignment readingOrder="0" shrinkToFit="0" vertical="center" wrapText="1"/>
    </xf>
    <xf borderId="0" fillId="0" fontId="1" numFmtId="0" xfId="0" applyAlignment="1" applyFont="1">
      <alignment horizontal="left" shrinkToFit="0" vertical="center" wrapText="0"/>
    </xf>
    <xf borderId="0" fillId="0" fontId="1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/>
    </xf>
    <xf borderId="0" fillId="0" fontId="18" numFmtId="49" xfId="0" applyAlignment="1" applyFont="1" applyNumberFormat="1">
      <alignment shrinkToFit="0" vertical="center" wrapText="0"/>
    </xf>
    <xf borderId="0" fillId="0" fontId="19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shrinkToFit="0" vertical="center" wrapText="1"/>
    </xf>
    <xf borderId="0" fillId="4" fontId="13" numFmtId="0" xfId="0" applyAlignment="1" applyFont="1">
      <alignment shrinkToFit="0" vertical="center" wrapText="0"/>
    </xf>
    <xf borderId="3" fillId="0" fontId="1" numFmtId="0" xfId="0" applyAlignment="1" applyBorder="1" applyFont="1">
      <alignment readingOrder="0" shrinkToFit="0" vertical="center" wrapText="0"/>
    </xf>
    <xf borderId="1" fillId="3" fontId="20" numFmtId="49" xfId="0" applyAlignment="1" applyBorder="1" applyFont="1" applyNumberFormat="1">
      <alignment shrinkToFit="0" vertical="center" wrapText="0"/>
    </xf>
    <xf borderId="1" fillId="3" fontId="3" numFmtId="49" xfId="0" applyAlignment="1" applyBorder="1" applyFont="1" applyNumberFormat="1">
      <alignment shrinkToFit="0" vertical="center" wrapText="0"/>
    </xf>
    <xf borderId="1" fillId="3" fontId="6" numFmtId="49" xfId="0" applyAlignment="1" applyBorder="1" applyFont="1" applyNumberFormat="1">
      <alignment shrinkToFit="0" vertical="center" wrapText="0"/>
    </xf>
    <xf borderId="1" fillId="3" fontId="7" numFmtId="0" xfId="0" applyAlignment="1" applyBorder="1" applyFont="1">
      <alignment shrinkToFit="0" vertical="center" wrapText="0"/>
    </xf>
    <xf borderId="1" fillId="3" fontId="3" numFmtId="164" xfId="0" applyAlignment="1" applyBorder="1" applyFont="1" applyNumberFormat="1">
      <alignment horizontal="right" shrinkToFit="0" vertical="center" wrapText="1"/>
    </xf>
    <xf borderId="1" fillId="3" fontId="6" numFmtId="0" xfId="0" applyAlignment="1" applyBorder="1" applyFont="1">
      <alignment readingOrder="0" shrinkToFit="0" vertical="center" wrapText="0"/>
    </xf>
    <xf borderId="1" fillId="3" fontId="6" numFmtId="10" xfId="0" applyAlignment="1" applyBorder="1" applyFont="1" applyNumberFormat="1">
      <alignment shrinkToFit="0" vertical="center" wrapText="0"/>
    </xf>
    <xf borderId="1" fillId="3" fontId="8" numFmtId="0" xfId="0" applyAlignment="1" applyBorder="1" applyFont="1">
      <alignment shrinkToFit="0" vertical="center" wrapText="0"/>
    </xf>
    <xf borderId="2" fillId="3" fontId="3" numFmtId="49" xfId="0" applyAlignment="1" applyBorder="1" applyFont="1" applyNumberForma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3" fillId="3" fontId="21" numFmtId="49" xfId="0" applyAlignment="1" applyBorder="1" applyFont="1" applyNumberFormat="1">
      <alignment shrinkToFit="0" vertical="center" wrapText="0"/>
    </xf>
    <xf borderId="3" fillId="3" fontId="3" numFmtId="49" xfId="0" applyAlignment="1" applyBorder="1" applyFont="1" applyNumberFormat="1">
      <alignment shrinkToFit="0" vertical="center" wrapText="0"/>
    </xf>
    <xf borderId="3" fillId="3" fontId="6" numFmtId="49" xfId="0" applyAlignment="1" applyBorder="1" applyFont="1" applyNumberFormat="1">
      <alignment shrinkToFit="0" vertical="center" wrapText="0"/>
    </xf>
    <xf borderId="3" fillId="3" fontId="7" numFmtId="0" xfId="0" applyAlignment="1" applyBorder="1" applyFont="1">
      <alignment shrinkToFit="0" vertical="center" wrapText="0"/>
    </xf>
    <xf borderId="3" fillId="3" fontId="3" numFmtId="164" xfId="0" applyAlignment="1" applyBorder="1" applyFont="1" applyNumberFormat="1">
      <alignment horizontal="right" shrinkToFit="0" vertical="center" wrapText="1"/>
    </xf>
    <xf borderId="3" fillId="3" fontId="6" numFmtId="0" xfId="0" applyAlignment="1" applyBorder="1" applyFont="1">
      <alignment readingOrder="0" shrinkToFit="0" vertical="center" wrapText="0"/>
    </xf>
    <xf borderId="3" fillId="3" fontId="6" numFmtId="10" xfId="0" applyAlignment="1" applyBorder="1" applyFont="1" applyNumberFormat="1">
      <alignment shrinkToFit="0" vertical="center" wrapText="0"/>
    </xf>
    <xf borderId="3" fillId="3" fontId="2" numFmtId="0" xfId="0" applyAlignment="1" applyBorder="1" applyFont="1">
      <alignment shrinkToFit="0" vertical="center" wrapText="1"/>
    </xf>
    <xf borderId="4" fillId="3" fontId="3" numFmtId="49" xfId="0" applyAlignment="1" applyBorder="1" applyFont="1" applyNumberFormat="1">
      <alignment shrinkToFit="0" vertical="center" wrapText="0"/>
    </xf>
    <xf borderId="1" fillId="4" fontId="22" numFmtId="49" xfId="0" applyAlignment="1" applyBorder="1" applyFont="1" applyNumberFormat="1">
      <alignment shrinkToFit="0" vertical="center" wrapText="0"/>
    </xf>
    <xf borderId="1" fillId="4" fontId="3" numFmtId="49" xfId="0" applyAlignment="1" applyBorder="1" applyFont="1" applyNumberFormat="1">
      <alignment shrinkToFit="0" vertical="center" wrapText="0"/>
    </xf>
    <xf borderId="1" fillId="4" fontId="6" numFmtId="49" xfId="0" applyAlignment="1" applyBorder="1" applyFont="1" applyNumberFormat="1">
      <alignment shrinkToFit="0" vertical="center" wrapText="0"/>
    </xf>
    <xf borderId="1" fillId="4" fontId="13" numFmtId="0" xfId="0" applyAlignment="1" applyBorder="1" applyFont="1">
      <alignment shrinkToFit="0" vertical="center" wrapText="0"/>
    </xf>
    <xf borderId="1" fillId="4" fontId="6" numFmtId="164" xfId="0" applyAlignment="1" applyBorder="1" applyFont="1" applyNumberFormat="1">
      <alignment shrinkToFit="0" vertical="center" wrapText="0"/>
    </xf>
    <xf borderId="1" fillId="4" fontId="6" numFmtId="0" xfId="0" applyAlignment="1" applyBorder="1" applyFont="1">
      <alignment readingOrder="0" shrinkToFit="0" vertical="center" wrapText="0"/>
    </xf>
    <xf borderId="1" fillId="4" fontId="6" numFmtId="10" xfId="0" applyAlignment="1" applyBorder="1" applyFont="1" applyNumberFormat="1">
      <alignment shrinkToFit="0" vertical="center" wrapText="0"/>
    </xf>
    <xf borderId="1" fillId="4" fontId="2" numFmtId="0" xfId="0" applyAlignment="1" applyBorder="1" applyFont="1">
      <alignment shrinkToFit="0" vertical="center" wrapText="1"/>
    </xf>
    <xf borderId="2" fillId="4" fontId="3" numFmtId="49" xfId="0" applyAlignment="1" applyBorder="1" applyFont="1" applyNumberFormat="1">
      <alignment shrinkToFit="0" vertical="center" wrapText="0"/>
    </xf>
    <xf borderId="3" fillId="4" fontId="23" numFmtId="49" xfId="0" applyAlignment="1" applyBorder="1" applyFont="1" applyNumberFormat="1">
      <alignment shrinkToFit="0" vertical="center" wrapText="0"/>
    </xf>
    <xf borderId="3" fillId="4" fontId="3" numFmtId="49" xfId="0" applyAlignment="1" applyBorder="1" applyFont="1" applyNumberFormat="1">
      <alignment shrinkToFit="0" vertical="center" wrapText="0"/>
    </xf>
    <xf borderId="3" fillId="4" fontId="6" numFmtId="49" xfId="0" applyAlignment="1" applyBorder="1" applyFont="1" applyNumberFormat="1">
      <alignment shrinkToFit="0" vertical="center" wrapText="0"/>
    </xf>
    <xf borderId="3" fillId="4" fontId="7" numFmtId="0" xfId="0" applyAlignment="1" applyBorder="1" applyFont="1">
      <alignment shrinkToFit="0" vertical="center" wrapText="0"/>
    </xf>
    <xf borderId="3" fillId="4" fontId="3" numFmtId="164" xfId="0" applyAlignment="1" applyBorder="1" applyFont="1" applyNumberFormat="1">
      <alignment horizontal="right" shrinkToFit="0" vertical="center" wrapText="1"/>
    </xf>
    <xf borderId="3" fillId="4" fontId="6" numFmtId="0" xfId="0" applyAlignment="1" applyBorder="1" applyFont="1">
      <alignment readingOrder="0" shrinkToFit="0" vertical="center" wrapText="0"/>
    </xf>
    <xf borderId="3" fillId="4" fontId="6" numFmtId="10" xfId="0" applyAlignment="1" applyBorder="1" applyFont="1" applyNumberFormat="1">
      <alignment shrinkToFit="0" vertical="center" wrapText="0"/>
    </xf>
    <xf borderId="3" fillId="4" fontId="2" numFmtId="0" xfId="0" applyAlignment="1" applyBorder="1" applyFont="1">
      <alignment shrinkToFit="0" vertical="center" wrapText="1"/>
    </xf>
    <xf borderId="4" fillId="4" fontId="3" numFmtId="49" xfId="0" applyAlignment="1" applyBorder="1" applyFont="1" applyNumberFormat="1">
      <alignment shrinkToFit="0" vertical="center" wrapText="0"/>
    </xf>
    <xf borderId="1" fillId="3" fontId="13" numFmtId="0" xfId="0" applyAlignment="1" applyBorder="1" applyFont="1">
      <alignment shrinkToFit="0" vertical="center" wrapText="0"/>
    </xf>
    <xf borderId="1" fillId="3" fontId="6" numFmtId="164" xfId="0" applyAlignment="1" applyBorder="1" applyFont="1" applyNumberFormat="1">
      <alignment shrinkToFit="0" vertical="center" wrapText="0"/>
    </xf>
    <xf borderId="1" fillId="4" fontId="11" numFmtId="0" xfId="0" applyAlignment="1" applyBorder="1" applyFont="1">
      <alignment shrinkToFit="0" vertical="center" wrapText="0"/>
    </xf>
    <xf borderId="1" fillId="4" fontId="3" numFmtId="164" xfId="0" applyAlignment="1" applyBorder="1" applyFont="1" applyNumberFormat="1">
      <alignment horizontal="right" shrinkToFit="0" vertical="center" wrapText="1"/>
    </xf>
    <xf borderId="1" fillId="4" fontId="12" numFmtId="0" xfId="0" applyAlignment="1" applyBorder="1" applyFont="1">
      <alignment shrinkToFit="0" vertical="center" wrapText="0"/>
    </xf>
    <xf borderId="3" fillId="3" fontId="8" numFmtId="0" xfId="0" applyAlignment="1" applyBorder="1" applyFont="1">
      <alignment shrinkToFit="0" vertical="center" wrapText="0"/>
    </xf>
    <xf borderId="1" fillId="4" fontId="8" numFmtId="0" xfId="0" applyAlignment="1" applyBorder="1" applyFont="1">
      <alignment shrinkToFit="0" vertical="center" wrapText="0"/>
    </xf>
    <xf borderId="3" fillId="0" fontId="1" numFmtId="0" xfId="0" applyAlignment="1" applyBorder="1" applyFont="1">
      <alignment shrinkToFit="0" vertical="center" wrapText="1"/>
    </xf>
    <xf borderId="3" fillId="2" fontId="24" numFmtId="49" xfId="0" applyAlignment="1" applyBorder="1" applyFont="1" applyNumberFormat="1">
      <alignment readingOrder="0" shrinkToFit="0" vertical="center" wrapText="1"/>
    </xf>
    <xf borderId="3" fillId="2" fontId="1" numFmtId="49" xfId="0" applyAlignment="1" applyBorder="1" applyFont="1" applyNumberFormat="1">
      <alignment shrinkToFit="0" vertical="center" wrapText="1"/>
    </xf>
    <xf borderId="3" fillId="0" fontId="1" numFmtId="0" xfId="0" applyAlignment="1" applyBorder="1" applyFont="1">
      <alignment readingOrder="0" shrinkToFit="0" vertical="center" wrapText="1"/>
    </xf>
    <xf borderId="3" fillId="0" fontId="1" numFmtId="164" xfId="0" applyAlignment="1" applyBorder="1" applyFont="1" applyNumberFormat="1">
      <alignment shrinkToFit="0" vertical="center" wrapText="1"/>
    </xf>
    <xf borderId="3" fillId="0" fontId="1" numFmtId="0" xfId="0" applyAlignment="1" applyBorder="1" applyFont="1">
      <alignment shrinkToFit="0" vertical="center" wrapText="1"/>
    </xf>
    <xf borderId="3" fillId="0" fontId="1" numFmtId="10" xfId="0" applyAlignment="1" applyBorder="1" applyFont="1" applyNumberFormat="1">
      <alignment shrinkToFit="0" vertical="center" wrapText="1"/>
    </xf>
    <xf borderId="4" fillId="0" fontId="1" numFmtId="0" xfId="0" applyAlignment="1" applyBorder="1" applyFont="1">
      <alignment shrinkToFit="0" vertical="center" wrapText="1"/>
    </xf>
    <xf borderId="3" fillId="4" fontId="8" numFmtId="0" xfId="0" applyAlignment="1" applyBorder="1" applyFont="1">
      <alignment shrinkToFit="0" vertical="center" wrapText="0"/>
    </xf>
    <xf borderId="1" fillId="3" fontId="12" numFmtId="0" xfId="0" applyAlignment="1" applyBorder="1" applyFont="1">
      <alignment shrinkToFit="0" vertical="center" wrapText="0"/>
    </xf>
    <xf borderId="0" fillId="3" fontId="13" numFmtId="0" xfId="0" applyAlignment="1" applyFont="1">
      <alignment shrinkToFit="0" vertical="center" wrapText="0"/>
    </xf>
    <xf borderId="1" fillId="3" fontId="2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10" xfId="0" applyAlignment="1" applyFont="1" applyNumberFormat="1">
      <alignment shrinkToFit="0" vertical="center" wrapText="1"/>
    </xf>
    <xf borderId="0" fillId="4" fontId="2" numFmtId="0" xfId="0" applyAlignment="1" applyFont="1">
      <alignment shrinkToFit="0" vertical="center" wrapText="0"/>
    </xf>
    <xf borderId="0" fillId="2" fontId="25" numFmtId="49" xfId="0" applyAlignment="1" applyFont="1" applyNumberFormat="1">
      <alignment readingOrder="0" shrinkToFit="0" vertical="center" wrapText="1"/>
    </xf>
    <xf borderId="0" fillId="2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0" xfId="0" applyAlignment="1" applyFont="1" applyNumberFormat="1">
      <alignment shrinkToFit="0" vertical="center" wrapText="0"/>
    </xf>
    <xf borderId="0" fillId="3" fontId="26" numFmtId="0" xfId="0" applyAlignment="1" applyFont="1">
      <alignment shrinkToFit="0" vertical="center" wrapText="0"/>
    </xf>
    <xf borderId="0" fillId="4" fontId="3" numFmtId="164" xfId="0" applyAlignment="1" applyFont="1" applyNumberFormat="1">
      <alignment horizontal="right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ont/>
      <fill>
        <patternFill patternType="solid">
          <fgColor rgb="FF0059BC"/>
          <bgColor rgb="FF0059BC"/>
        </patternFill>
      </fill>
      <border/>
    </dxf>
  </dxfs>
  <tableStyles count="9">
    <tableStyle count="4" pivot="0" name="CONCENTRADO DE EGRES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osué Moral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Rebeca Ortiz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Marco Flor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Daniela Lara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Alexandro Carrasco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Saira Gómez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oncentrado Equipo TA 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opia seguridad 27-01-2026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nónimo" id="{12678768-7b4f-4b01-8531-f6a90b657036}" providerId="google-sheets"/>
</x18tc:personList>
</file>

<file path=xl/tables/table1.xml><?xml version="1.0" encoding="utf-8"?>
<table xmlns="http://schemas.openxmlformats.org/spreadsheetml/2006/main" ref="A1:K6" displayName="Tabla_5" name="Tabla_5" id="1">
  <tableColumns count="11">
    <tableColumn name="ID de Egresos" id="1"/>
    <tableColumn name="Fecha" id="2"/>
    <tableColumn name="Asesor Comercial" id="3"/>
    <tableColumn name="Concepto" id="4"/>
    <tableColumn name="Monto" id="5"/>
    <tableColumn name="Lugar Visitado" id="6"/>
    <tableColumn name="No. Empresas Visitadas" id="7"/>
    <tableColumn name="No. Contactos calificados" id="8"/>
    <tableColumn name="No. Citas técnicas" id="9"/>
    <tableColumn name="No. Cotizaciones" id="10"/>
    <tableColumn name="No. Ventas Cerradas" id="11"/>
  </tableColumns>
  <tableStyleInfo name="CONCENTRADO DE EGRESOS-style" showColumnStripes="0" showFirstColumn="1" showLastColumn="1" showRowStripes="1"/>
</table>
</file>

<file path=xl/tables/table2.xml><?xml version="1.0" encoding="utf-8"?>
<table xmlns="http://schemas.openxmlformats.org/spreadsheetml/2006/main" ref="A1:K148" displayName="Tabla_1" name="Tabla_1" id="2">
  <autoFilter ref="$A$1:$K$148"/>
  <tableColumns count="11">
    <tableColumn name="ID de Prospecto" id="1"/>
    <tableColumn name="Nombre del Prospecto" id="2"/>
    <tableColumn name="Empresa" id="3"/>
    <tableColumn name="Ubicación " id="4"/>
    <tableColumn name="Producto o Servicio de Interes" id="5"/>
    <tableColumn name="Etapa del Proceso" id="6"/>
    <tableColumn name="Fecha de Contacto Inicial" id="7"/>
    <tableColumn name="Valor Estimado (USD)" id="8"/>
    <tableColumn name="Probabilidad de Cierre" id="9"/>
    <tableColumn name="Medio de Captación" id="10"/>
    <tableColumn name="Vendedor Asignado" id="11"/>
  </tableColumns>
  <tableStyleInfo name="Josué Morales-style" showColumnStripes="0" showFirstColumn="1" showLastColumn="1" showRowStripes="1"/>
</table>
</file>

<file path=xl/tables/table3.xml><?xml version="1.0" encoding="utf-8"?>
<table xmlns="http://schemas.openxmlformats.org/spreadsheetml/2006/main" ref="A1:K80" displayName="Tabla" name="Tabla" id="3">
  <autoFilter ref="$A$1:$K$80"/>
  <tableColumns count="11">
    <tableColumn name="ID de Prospecto" id="1"/>
    <tableColumn name="Nombre del Prospecto" id="2"/>
    <tableColumn name="Empresa" id="3"/>
    <tableColumn name="Ubicación " id="4"/>
    <tableColumn name="Producto o Servicio de Interes" id="5"/>
    <tableColumn name="Etapa del Proceso" id="6"/>
    <tableColumn name="Fecha de Contacto Inicial" id="7"/>
    <tableColumn name="Valor Estimado (USD)" id="8"/>
    <tableColumn name="Probabilidad de Cierre" id="9"/>
    <tableColumn name="Medio de Captación" id="10"/>
    <tableColumn name="Vendedor Asignado" id="11"/>
  </tableColumns>
  <tableStyleInfo name="Rebeca Ortiz-style" showColumnStripes="0" showFirstColumn="1" showLastColumn="1" showRowStripes="1"/>
</table>
</file>

<file path=xl/tables/table4.xml><?xml version="1.0" encoding="utf-8"?>
<table xmlns="http://schemas.openxmlformats.org/spreadsheetml/2006/main" ref="A1:K24" displayName="Tabla_2" name="Tabla_2" id="4">
  <autoFilter ref="$A$1:$K$24"/>
  <tableColumns count="11">
    <tableColumn name="ID de Prospecto" id="1"/>
    <tableColumn name="Nombre del Prospecto" id="2"/>
    <tableColumn name="Empresa" id="3"/>
    <tableColumn name="Ubicación " id="4"/>
    <tableColumn name="Producto o Servicio de Interes" id="5"/>
    <tableColumn name="Etapa del Proceso" id="6"/>
    <tableColumn name="Fecha de Contacto Inicial" id="7"/>
    <tableColumn name="Valor Estimado (USD)" id="8"/>
    <tableColumn name="Probabilidad de Cierre" id="9"/>
    <tableColumn name="Medio de Captación" id="10"/>
    <tableColumn name="Vendedor Asignado" id="11"/>
  </tableColumns>
  <tableStyleInfo name="Marco Flores-style" showColumnStripes="0" showFirstColumn="1" showLastColumn="1" showRowStripes="1"/>
</table>
</file>

<file path=xl/tables/table5.xml><?xml version="1.0" encoding="utf-8"?>
<table xmlns="http://schemas.openxmlformats.org/spreadsheetml/2006/main" ref="A1:K115" displayName="Tabla_6" name="Tabla_6" id="5">
  <autoFilter ref="$A$1:$K$115"/>
  <tableColumns count="11">
    <tableColumn name="ID de Prospecto" id="1"/>
    <tableColumn name="Nombre del Prospecto" id="2"/>
    <tableColumn name="Empresa" id="3"/>
    <tableColumn name="Ubicación " id="4"/>
    <tableColumn name="Producto o Servicio de Interes" id="5"/>
    <tableColumn name="Etapa del Proceso" id="6"/>
    <tableColumn name="Fecha de Contacto Inicial" id="7"/>
    <tableColumn name="Valor Estimado (USD)" id="8"/>
    <tableColumn name="Probabilidad de Cierre" id="9"/>
    <tableColumn name="Medio de Captación" id="10"/>
    <tableColumn name="Vendedor Asignado" id="11"/>
  </tableColumns>
  <tableStyleInfo name="Daniela Lara-style" showColumnStripes="0" showFirstColumn="1" showLastColumn="1" showRowStripes="1"/>
</table>
</file>

<file path=xl/tables/table6.xml><?xml version="1.0" encoding="utf-8"?>
<table xmlns="http://schemas.openxmlformats.org/spreadsheetml/2006/main" ref="A1:K182" displayName="Tabla_3" name="Tabla_3" id="6">
  <autoFilter ref="$A$1:$K$182"/>
  <tableColumns count="11">
    <tableColumn name="ID de Prospecto" id="1"/>
    <tableColumn name="Nombre del Prospecto" id="2"/>
    <tableColumn name="Empresa" id="3"/>
    <tableColumn name="Ubicación " id="4"/>
    <tableColumn name="Producto o Servicio de Interes" id="5"/>
    <tableColumn name="Etapa del Proceso" id="6"/>
    <tableColumn name="Fecha de Contacto Inicial" id="7"/>
    <tableColumn name="Valor Estimado (USD)" id="8"/>
    <tableColumn name="Probabilidad de Cierre" id="9"/>
    <tableColumn name="Medio de Captación" id="10"/>
    <tableColumn name="Vendedor Asignado" id="11"/>
  </tableColumns>
  <tableStyleInfo name="Alexandro Carrasco-style" showColumnStripes="0" showFirstColumn="1" showLastColumn="1" showRowStripes="1"/>
</table>
</file>

<file path=xl/tables/table7.xml><?xml version="1.0" encoding="utf-8"?>
<table xmlns="http://schemas.openxmlformats.org/spreadsheetml/2006/main" ref="A1:K15" displayName="Tabla_8" name="Tabla_8" id="7">
  <autoFilter ref="$A$1:$K$15"/>
  <tableColumns count="11">
    <tableColumn name="ID de Prospecto" id="1"/>
    <tableColumn name="Nombre del Prospecto" id="2"/>
    <tableColumn name="Empresa" id="3"/>
    <tableColumn name="Ubicación " id="4"/>
    <tableColumn name="Producto o Servicio de Interes" id="5"/>
    <tableColumn name="Etapa del Proceso" id="6"/>
    <tableColumn name="Fecha de Contacto Inicial" id="7"/>
    <tableColumn name="Valor Estimado (USD)" id="8"/>
    <tableColumn name="Probabilidad de Cierre" id="9"/>
    <tableColumn name="Medio de Captación" id="10"/>
    <tableColumn name="Vendedor Asignado" id="11"/>
  </tableColumns>
  <tableStyleInfo name="Saira Gómez-style" showColumnStripes="0" showFirstColumn="1" showLastColumn="1" showRowStripes="1"/>
</table>
</file>

<file path=xl/tables/table8.xml><?xml version="1.0" encoding="utf-8"?>
<table xmlns="http://schemas.openxmlformats.org/spreadsheetml/2006/main" ref="A1:K429" displayName="Tabla_7" name="Tabla_7" id="8">
  <autoFilter ref="$A$1:$K$429"/>
  <tableColumns count="11">
    <tableColumn name="Columna 1" id="1"/>
    <tableColumn name="Columna 2" id="2"/>
    <tableColumn name="Columna 3" id="3"/>
    <tableColumn name="Columna 4" id="4"/>
    <tableColumn name="Columna 5" id="5"/>
    <tableColumn name="Columna 6" id="6"/>
    <tableColumn name="Columna 7" id="7"/>
    <tableColumn name="Columna 8" id="8"/>
    <tableColumn name="Columna 9" id="9"/>
    <tableColumn name="Columna 10" id="10"/>
    <tableColumn name="Columna 11" id="11"/>
  </tableColumns>
  <tableStyleInfo name="Concentrado Equipo TA -style" showColumnStripes="0" showFirstColumn="1" showLastColumn="1" showRowStripes="1"/>
</table>
</file>

<file path=xl/tables/table9.xml><?xml version="1.0" encoding="utf-8"?>
<table xmlns="http://schemas.openxmlformats.org/spreadsheetml/2006/main" ref="A1:K275" displayName="Tabla_4" name="Tabla_4" id="9">
  <autoFilter ref="$A$1:$K$275"/>
  <tableColumns count="11">
    <tableColumn name="ID de Prospecto" id="1"/>
    <tableColumn name="Nombre del Prospecto" id="2"/>
    <tableColumn name="Empresa" id="3"/>
    <tableColumn name="Ubicación " id="4"/>
    <tableColumn name="Producto o Servicio de Interes" id="5"/>
    <tableColumn name="Etapa del Proceso" id="6"/>
    <tableColumn name="Fecha de Contacto Inicial" id="7"/>
    <tableColumn name="Valor Estimado (USD)" id="8"/>
    <tableColumn name="Probabilidad de Cierre" id="9"/>
    <tableColumn name="Medio de Captación" id="10"/>
    <tableColumn name="Vendedor Asignado" id="11"/>
  </tableColumns>
  <tableStyleInfo name="Copia seguridad 27-01-2026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J62" dT="2026-02-24T22:06:20.00" personId="{12678768-7b4f-4b01-8531-f6a90b657036}" id="{c4840c41-72ba-4f19-9676-8754247b78b5}" done="1">
    <x18tc:text xml:space="preserve">Ya tienen contrato con Ammper</x18tc:text>
  </x18tc:threadedComment>
  <x18tc:threadedComment ref="J32" dT="2026-02-23T14:39:40.00" personId="{12678768-7b4f-4b01-8531-f6a90b657036}" id="{82579d3c-567e-4f22-a23b-a4f383e94a2f}" done="1">
    <x18tc:text xml:space="preserve">ya lo tiene en seguimiento Josué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oogle.com/maps/place/Celaya/data=!4m2!3m1!19sChIJdcZgHmS6LIQRRyd9mq3Tj5k" TargetMode="External"/><Relationship Id="rId2" Type="http://schemas.openxmlformats.org/officeDocument/2006/relationships/hyperlink" Target="https://www.google.com/maps/place/S.L.P./data=!4m2!3m1!19sChIJefusBQCiKoQRXkEExEGyIOY" TargetMode="External"/><Relationship Id="rId3" Type="http://schemas.openxmlformats.org/officeDocument/2006/relationships/hyperlink" Target="https://www.google.com/maps/place/Celaya/data=!4m2!3m1!19sChIJdcZgHmS6LIQRRyd9mq3Tj5k" TargetMode="External"/><Relationship Id="rId4" Type="http://schemas.openxmlformats.org/officeDocument/2006/relationships/hyperlink" Target="https://www.google.com/maps/place/Jalisco/data=!4m2!3m1!19sChIJb05i1OtAH4QRU0obWqOw_qA" TargetMode="External"/><Relationship Id="rId11" Type="http://schemas.openxmlformats.org/officeDocument/2006/relationships/drawing" Target="../drawings/drawing3.xml"/><Relationship Id="rId10" Type="http://schemas.openxmlformats.org/officeDocument/2006/relationships/hyperlink" Target="https://www.google.com/maps/place/Leon/data=!4m2!3m1!19sChIJIefm1v--K4QRJ0OlYeyVbWA" TargetMode="External"/><Relationship Id="rId13" Type="http://schemas.openxmlformats.org/officeDocument/2006/relationships/table" Target="../tables/table3.xml"/><Relationship Id="rId9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Quer%C3%A9taro/data=!4m2!3m1!19sChIJVZJb3I9b04URL4MbVqqUsJc" TargetMode="External"/><Relationship Id="rId6" Type="http://schemas.openxmlformats.org/officeDocument/2006/relationships/hyperlink" Target="https://www.google.com/maps/place/Puebla/data=!4m2!3m1!19sChIJO3q8Xr3Az4URla2U5B1Gpkg" TargetMode="External"/><Relationship Id="rId7" Type="http://schemas.openxmlformats.org/officeDocument/2006/relationships/hyperlink" Target="https://www.google.com/maps/place/Leon/data=!4m2!3m1!19sChIJIefm1v--K4QRJ0OlYeyVbWA" TargetMode="External"/><Relationship Id="rId8" Type="http://schemas.openxmlformats.org/officeDocument/2006/relationships/hyperlink" Target="https://www.google.com/maps/place/Leon/data=!4m2!3m1!19sChIJIefm1v--K4QRJ0OlYeyVbWA" TargetMode="Externa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linkedin.com/in/romeo-morales-cruz-b2479a89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drawing" Target="../drawings/drawing4.xml"/><Relationship Id="rId16" Type="http://schemas.openxmlformats.org/officeDocument/2006/relationships/table" Target="../tables/table4.xml"/><Relationship Id="rId5" Type="http://schemas.openxmlformats.org/officeDocument/2006/relationships/hyperlink" Target="https://www.linkedin.com/in/emigdio-gonzalez-98471717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8" Type="http://schemas.openxmlformats.org/officeDocument/2006/relationships/hyperlink" Target="https://www.linkedin.com/in/iqi-pamela-mendoza/overlay/about-this-profile/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San+Miguel+de+Allende/data=!4m2!3m1!19sChIJD7xxmK9RK4QRpLAHHQMBMWU" TargetMode="External"/><Relationship Id="rId22" Type="http://schemas.openxmlformats.org/officeDocument/2006/relationships/hyperlink" Target="https://www.google.com/maps/place/Leon/data=!4m2!3m1!19sChIJIefm1v--K4QRJ0OlYeyVbWA" TargetMode="External"/><Relationship Id="rId21" Type="http://schemas.openxmlformats.org/officeDocument/2006/relationships/hyperlink" Target="https://www.google.com/maps/place/Leon/data=!4m2!3m1!19sChIJIefm1v--K4QRJ0OlYeyVbWA" TargetMode="External"/><Relationship Id="rId24" Type="http://schemas.openxmlformats.org/officeDocument/2006/relationships/hyperlink" Target="https://www.google.com/maps/place/Colombia/data=!4m2!3m1!19sChIJo5QVrjqkFY4RQKPy7wSaDZo" TargetMode="External"/><Relationship Id="rId23" Type="http://schemas.openxmlformats.org/officeDocument/2006/relationships/hyperlink" Target="https://www.google.com/maps/place/Leon/data=!4m2!3m1!19sChIJIefm1v--K4QRJ0OlYeyVbWA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www.google.com/maps/place/Silao/data=!4m2!3m1!19sChIJSXXrm3icK4QR0r0VsIk7zEs" TargetMode="External"/><Relationship Id="rId9" Type="http://schemas.openxmlformats.org/officeDocument/2006/relationships/hyperlink" Target="https://www.google.com/maps/place/Sonora/data=!4m2!3m1!19sChIJD9JN52kpmIYRdOO7_Br_Vs0" TargetMode="External"/><Relationship Id="rId26" Type="http://schemas.openxmlformats.org/officeDocument/2006/relationships/hyperlink" Target="https://www.google.com/maps/place/Silao/data=!4m2!3m1!19sChIJSXXrm3icK4QR0r0VsIk7zEs" TargetMode="External"/><Relationship Id="rId25" Type="http://schemas.openxmlformats.org/officeDocument/2006/relationships/hyperlink" Target="https://www.google.com/maps/place/Saltillo/data=!4m2!3m1!19sChIJ7xnfeJANiIYRwDBHeUGSUak" TargetMode="External"/><Relationship Id="rId28" Type="http://schemas.openxmlformats.org/officeDocument/2006/relationships/hyperlink" Target="https://www.google.com/maps/place/Monterrey/data=!4m2!3m1!19sChIJ9fg3tDGVYoYRlJjIasrT06M" TargetMode="External"/><Relationship Id="rId27" Type="http://schemas.openxmlformats.org/officeDocument/2006/relationships/hyperlink" Target="https://www.google.com/maps/place/Morelia/data=!4m2!3m1!19sChIJ46edsqILLYQRIIacZ3hpAQQ" TargetMode="External"/><Relationship Id="rId5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Irapuato/data=!4m2!3m1!19sChIJ9SR-ex9-LIQRm2jpzR4I_cc" TargetMode="External"/><Relationship Id="rId7" Type="http://schemas.openxmlformats.org/officeDocument/2006/relationships/hyperlink" Target="https://www.google.com/maps/place/Celaya/data=!4m2!3m1!19sChIJdcZgHmS6LIQRRyd9mq3Tj5k" TargetMode="External"/><Relationship Id="rId8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Punta+Mita/data=!4m2!3m1!19sChIJz_pftj4TIYQRboc9rQk-DnE" TargetMode="External"/><Relationship Id="rId30" Type="http://schemas.openxmlformats.org/officeDocument/2006/relationships/hyperlink" Target="https://www.google.com/maps/place/Puerto+Vallarta/data=!4m2!3m1!19sChIJf8hjUGNFIYQRdFK_hZm_z3k" TargetMode="External"/><Relationship Id="rId11" Type="http://schemas.openxmlformats.org/officeDocument/2006/relationships/hyperlink" Target="https://www.google.com/maps/place/Estado+de+M%C3%A9xico/data=!4m2!3m1!19sChIJOwrrwJKJzYURV6jFn775_sI" TargetMode="External"/><Relationship Id="rId33" Type="http://schemas.openxmlformats.org/officeDocument/2006/relationships/vmlDrawing" Target="../drawings/vmlDrawing1.vml"/><Relationship Id="rId10" Type="http://schemas.openxmlformats.org/officeDocument/2006/relationships/hyperlink" Target="https://www.google.com/maps/place/Silao/data=!4m2!3m1!19sChIJSXXrm3icK4QR0r0VsIk7zEs" TargetMode="External"/><Relationship Id="rId32" Type="http://schemas.openxmlformats.org/officeDocument/2006/relationships/drawing" Target="../drawings/drawing5.xml"/><Relationship Id="rId13" Type="http://schemas.openxmlformats.org/officeDocument/2006/relationships/hyperlink" Target="https://www.google.com/maps/place/Leon/data=!4m2!3m1!19sChIJIefm1v--K4QRJ0OlYeyVbWA" TargetMode="External"/><Relationship Id="rId35" Type="http://schemas.openxmlformats.org/officeDocument/2006/relationships/table" Target="../tables/table5.xml"/><Relationship Id="rId12" Type="http://schemas.openxmlformats.org/officeDocument/2006/relationships/hyperlink" Target="https://www.google.com/maps/place/Leon/data=!4m2!3m1!19sChIJIefm1v--K4QRJ0OlYeyVbWA" TargetMode="External"/><Relationship Id="rId15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Los+Cabos/data=!4m2!3m1!19sChIJoQjlifNKr4YRaLiiwWLfpEs" TargetMode="External"/><Relationship Id="rId17" Type="http://schemas.openxmlformats.org/officeDocument/2006/relationships/hyperlink" Target="https://www.google.com/maps/place/Quer%C3%A9taro/data=!4m2!3m1!19sChIJVZJb3I9b04URL4MbVqqUsJc" TargetMode="External"/><Relationship Id="rId16" Type="http://schemas.openxmlformats.org/officeDocument/2006/relationships/hyperlink" Target="https://www.google.com/maps/place/Nuevo+Leon/data=!4m2!3m1!19sChIJXbClooSVYoYRxrtsw0L0HXA" TargetMode="External"/><Relationship Id="rId19" Type="http://schemas.openxmlformats.org/officeDocument/2006/relationships/hyperlink" Target="https://www.google.com/maps/place/Silao/data=!4m2!3m1!19sChIJSXXrm3icK4QR0r0VsIk7zEs" TargetMode="External"/><Relationship Id="rId18" Type="http://schemas.openxmlformats.org/officeDocument/2006/relationships/hyperlink" Target="https://www.google.com/maps/place/Leon/data=!4m2!3m1!19sChIJIefm1v--K4QRJ0OlYeyVbWA" TargetMode="Externa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google.com/maps/place/CDMX/data=!4m2!3m1!19sChIJJyk1sTYAzoURW4rR6E6e_d4" TargetMode="External"/><Relationship Id="rId42" Type="http://schemas.openxmlformats.org/officeDocument/2006/relationships/hyperlink" Target="https://www.google.com/maps/place/CDMX/data=!4m2!3m1!19sChIJJyk1sTYAzoURW4rR6E6e_d4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43" Type="http://schemas.openxmlformats.org/officeDocument/2006/relationships/hyperlink" Target="https://www.google.com/maps/place/CDMX/data=!4m2!3m1!19sChIJJyk1sTYAzoURW4rR6E6e_d4" TargetMode="External"/><Relationship Id="rId46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107" Type="http://schemas.openxmlformats.org/officeDocument/2006/relationships/hyperlink" Target="https://www.google.com/maps/place/CDMX/data=!4m2!3m1!19sChIJJyk1sTYAzoURW4rR6E6e_d4" TargetMode="External"/><Relationship Id="rId106" Type="http://schemas.openxmlformats.org/officeDocument/2006/relationships/hyperlink" Target="https://www.google.com/maps/place/Quer%C3%A9taro/data=!4m2!3m1!19sChIJVZJb3I9b04URL4MbVqqUsJc" TargetMode="External"/><Relationship Id="rId105" Type="http://schemas.openxmlformats.org/officeDocument/2006/relationships/hyperlink" Target="https://www.google.com/maps/place/CDMX/data=!4m2!3m1!19sChIJJyk1sTYAzoURW4rR6E6e_d4" TargetMode="External"/><Relationship Id="rId104" Type="http://schemas.openxmlformats.org/officeDocument/2006/relationships/hyperlink" Target="https://www.google.com/maps/place/Ciudad+de+M%C3%A9xico/data=!4m2!3m1!19sChIJB3UJ2yYAzoURQeheJnYQBlQ" TargetMode="External"/><Relationship Id="rId109" Type="http://schemas.openxmlformats.org/officeDocument/2006/relationships/hyperlink" Target="https://www.google.com/maps/place/CDMX/data=!4m2!3m1!19sChIJJyk1sTYAzoURW4rR6E6e_d4" TargetMode="External"/><Relationship Id="rId108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google.com/maps/place/Saltillo/data=!4m2!3m1!19sChIJ7xnfeJANiIYRwDBHeUGSUak" TargetMode="External"/><Relationship Id="rId47" Type="http://schemas.openxmlformats.org/officeDocument/2006/relationships/hyperlink" Target="https://www.google.com/maps/place/CDMX/data=!4m2!3m1!19sChIJJyk1sTYAzoURW4rR6E6e_d4" TargetMode="External"/><Relationship Id="rId49" Type="http://schemas.openxmlformats.org/officeDocument/2006/relationships/hyperlink" Target="https://www.google.com/maps/place/Leon/data=!4m2!3m1!19sChIJIefm1v--K4QRJ0OlYeyVbWA" TargetMode="External"/><Relationship Id="rId103" Type="http://schemas.openxmlformats.org/officeDocument/2006/relationships/hyperlink" Target="https://www.google.com/maps/place/Quer%C3%A9taro/data=!4m2!3m1!19sChIJVZJb3I9b04URL4MbVqqUsJc" TargetMode="External"/><Relationship Id="rId102" Type="http://schemas.openxmlformats.org/officeDocument/2006/relationships/hyperlink" Target="https://www.google.com/maps/place/TOLUCA,+EDO.DE+M%C3%89XICO/data=!4m2!3m1!19sChIJo8ClDimJzYURPHW196nh-M0" TargetMode="External"/><Relationship Id="rId101" Type="http://schemas.openxmlformats.org/officeDocument/2006/relationships/hyperlink" Target="https://www.google.com/maps/place/Ixtl%C3%A1n+del+R%C3%ADo/data=!4m2!3m1!19sChIJTVCj9Er3JoQRi4l50jWJEB4" TargetMode="External"/><Relationship Id="rId100" Type="http://schemas.openxmlformats.org/officeDocument/2006/relationships/hyperlink" Target="https://www.google.com/maps/place/Cortazar/data=!4m2!3m1!19sChIJ0b9J-py9LIQR_r4VaqEdEPw" TargetMode="External"/><Relationship Id="rId31" Type="http://schemas.openxmlformats.org/officeDocument/2006/relationships/hyperlink" Target="https://www.google.com/maps/place/CDMX/data=!4m2!3m1!19sChIJJyk1sTYAzoURW4rR6E6e_d4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3" Type="http://schemas.openxmlformats.org/officeDocument/2006/relationships/hyperlink" Target="https://www.google.com/maps/place/Guadalajara/data=!4m2!3m1!19sChIJm9MvtYyxKIQRUFeGvwKTPd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34" Type="http://schemas.openxmlformats.org/officeDocument/2006/relationships/hyperlink" Target="https://www.google.com/maps/place/Monterrey/data=!4m2!3m1!19sChIJ9fg3tDGVYoYRlJjIasrT06M" TargetMode="External"/><Relationship Id="rId37" Type="http://schemas.openxmlformats.org/officeDocument/2006/relationships/hyperlink" Target="https://www.google.com/maps/place/Los+Mochis/data=!4m2!3m1!19sChIJw-o1tkIvuoYRCIgyUkfDJLY" TargetMode="External"/><Relationship Id="rId36" Type="http://schemas.openxmlformats.org/officeDocument/2006/relationships/hyperlink" Target="https://www.google.com/maps/place/Monterrey/data=!4m2!3m1!19sChIJ9fg3tDGVYoYRlJjIasrT06M" TargetMode="External"/><Relationship Id="rId39" Type="http://schemas.openxmlformats.org/officeDocument/2006/relationships/hyperlink" Target="https://www.google.com/maps/place/Celaya/data=!4m2!3m1!19sChIJdcZgHmS6LIQRRyd9mq3Tj5k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22" Type="http://schemas.openxmlformats.org/officeDocument/2006/relationships/hyperlink" Target="https://www.google.com/maps/place/Guadalajara/data=!4m2!3m1!19sChIJm9MvtYyxKIQRUFeGvwKTPdY" TargetMode="External"/><Relationship Id="rId21" Type="http://schemas.openxmlformats.org/officeDocument/2006/relationships/hyperlink" Target="https://www.google.com/maps/place/Guanajuato/data=!4m2!3m1!19sChIJ6_EMi_VzK4QRdB5XZdGw9CU" TargetMode="External"/><Relationship Id="rId24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129" Type="http://schemas.openxmlformats.org/officeDocument/2006/relationships/hyperlink" Target="https://www.google.com/maps/place/Apaseo+el+Grande/data=!4m2!3m1!19sChIJC48rhGmyLIQRUaovo8hUffw" TargetMode="External"/><Relationship Id="rId128" Type="http://schemas.openxmlformats.org/officeDocument/2006/relationships/hyperlink" Target="https://www.google.com/maps/place/Ciudad+de+M%C3%A9xico/data=!4m2!3m1!19sChIJB3UJ2yYAzoURQeheJnYQBlQ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26" Type="http://schemas.openxmlformats.org/officeDocument/2006/relationships/hyperlink" Target="https://www.google.com/maps/place/Irapuato/data=!4m2!3m1!19sChIJ9SR-ex9-LIQRm2jpzR4I_cc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25" Type="http://schemas.openxmlformats.org/officeDocument/2006/relationships/hyperlink" Target="https://www.google.com/maps/place/Leon/data=!4m2!3m1!19sChIJIefm1v--K4QRJ0OlYeyVbWA" TargetMode="External"/><Relationship Id="rId120" Type="http://schemas.openxmlformats.org/officeDocument/2006/relationships/hyperlink" Target="https://www.google.com/maps/place/Ciudad+de+M%C3%A9xico/data=!4m2!3m1!19sChIJB3UJ2yYAzoURQeheJnYQBlQ" TargetMode="External"/><Relationship Id="rId28" Type="http://schemas.openxmlformats.org/officeDocument/2006/relationships/hyperlink" Target="https://www.google.com/maps/place/Leon/data=!4m2!3m1!19sChIJIefm1v--K4QRJ0OlYeyVbWA" TargetMode="External"/><Relationship Id="rId27" Type="http://schemas.openxmlformats.org/officeDocument/2006/relationships/hyperlink" Target="https://www.google.com/maps/place/CDMX/data=!4m2!3m1!19sChIJJyk1sTYAzoURW4rR6E6e_d4" TargetMode="External"/><Relationship Id="rId125" Type="http://schemas.openxmlformats.org/officeDocument/2006/relationships/hyperlink" Target="https://www.google.com/maps/place/Mazatl%C3%A1n/data=!4m2!3m1!19sChIJwTcYaEFTn4YRsnI88arEpGI" TargetMode="External"/><Relationship Id="rId29" Type="http://schemas.openxmlformats.org/officeDocument/2006/relationships/hyperlink" Target="https://www.google.com/maps/place/CDMX/data=!4m2!3m1!19sChIJJyk1sTYAzoURW4rR6E6e_d4" TargetMode="External"/><Relationship Id="rId124" Type="http://schemas.openxmlformats.org/officeDocument/2006/relationships/hyperlink" Target="https://www.google.com/maps/place/Quer%C3%A9taro/data=!4m2!3m1!19sChIJVZJb3I9b04URL4MbVqqUsJc" TargetMode="External"/><Relationship Id="rId123" Type="http://schemas.openxmlformats.org/officeDocument/2006/relationships/hyperlink" Target="https://www.google.com/maps/place/CDMX/data=!4m2!3m1!19sChIJJyk1sTYAzoURW4rR6E6e_d4" TargetMode="External"/><Relationship Id="rId122" Type="http://schemas.openxmlformats.org/officeDocument/2006/relationships/hyperlink" Target="https://www.google.com/maps/place/Quer%C3%A9taro/data=!4m2!3m1!19sChIJVZJb3I9b04URL4MbVqqUsJc" TargetMode="External"/><Relationship Id="rId95" Type="http://schemas.openxmlformats.org/officeDocument/2006/relationships/hyperlink" Target="https://www.google.com/maps/place/Ciudad+de+M%C3%A9xico/data=!4m2!3m1!19sChIJB3UJ2yYAzoURQeheJnYQBlQ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7" Type="http://schemas.openxmlformats.org/officeDocument/2006/relationships/hyperlink" Target="https://www.google.com/maps/place/Monterrey/data=!4m2!3m1!19sChIJ9fg3tDGVYoYRlJjIasrT06M" TargetMode="External"/><Relationship Id="rId96" Type="http://schemas.openxmlformats.org/officeDocument/2006/relationships/hyperlink" Target="https://www.google.com/maps/place/Quer%C3%A9taro/data=!4m2!3m1!19sChIJVZJb3I9b04URL4MbVqqUsJc" TargetMode="External"/><Relationship Id="rId11" Type="http://schemas.openxmlformats.org/officeDocument/2006/relationships/hyperlink" Target="https://www.google.com/maps/place/S.L.P./data=!4m2!3m1!19sChIJefusBQCiKoQRXkEExEGyIOY" TargetMode="External"/><Relationship Id="rId99" Type="http://schemas.openxmlformats.org/officeDocument/2006/relationships/hyperlink" Target="https://www.google.com/maps/place/Aguascalientes/data=!4m2!3m1!19sChIJ-9nkOhTsKYQRIFKcZ3hpAQ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98" Type="http://schemas.openxmlformats.org/officeDocument/2006/relationships/hyperlink" Target="https://www.google.com/maps/place/Ciudad+de+M%C3%A9xico/data=!4m2!3m1!19sChIJB3UJ2yYAzoURQeheJnYQBlQ" TargetMode="External"/><Relationship Id="rId13" Type="http://schemas.openxmlformats.org/officeDocument/2006/relationships/hyperlink" Target="https://www.google.com/maps/place/CDMX/data=!4m2!3m1!19sChIJJyk1sTYAzoURW4rR6E6e_d4" TargetMode="External"/><Relationship Id="rId12" Type="http://schemas.openxmlformats.org/officeDocument/2006/relationships/hyperlink" Target="https://www.google.com/maps/place/Leon/data=!4m2!3m1!19sChIJIefm1v--K4QRJ0OlYeyVbWA" TargetMode="External"/><Relationship Id="rId91" Type="http://schemas.openxmlformats.org/officeDocument/2006/relationships/hyperlink" Target="https://www.google.com/maps/place/Monterrey/data=!4m2!3m1!19sChIJ9fg3tDGVYoYRlJjIasrT06M" TargetMode="External"/><Relationship Id="rId90" Type="http://schemas.openxmlformats.org/officeDocument/2006/relationships/hyperlink" Target="https://www.google.com/maps/place/Monterrey/data=!4m2!3m1!19sChIJ9fg3tDGVYoYRlJjIasrT06M" TargetMode="External"/><Relationship Id="rId93" Type="http://schemas.openxmlformats.org/officeDocument/2006/relationships/hyperlink" Target="https://www.google.com/maps/place/Quer%C3%A9taro/data=!4m2!3m1!19sChIJVZJb3I9b04URL4MbVqqUsJc" TargetMode="External"/><Relationship Id="rId92" Type="http://schemas.openxmlformats.org/officeDocument/2006/relationships/hyperlink" Target="https://www.google.com/maps/place/CDMX/data=!4m2!3m1!19sChIJJyk1sTYAzoURW4rR6E6e_d4" TargetMode="External"/><Relationship Id="rId118" Type="http://schemas.openxmlformats.org/officeDocument/2006/relationships/hyperlink" Target="https://www.google.com/maps/place/Ciudad+de+M%C3%A9xico/data=!4m2!3m1!19sChIJB3UJ2yYAzoURQeheJnYQBlQ" TargetMode="External"/><Relationship Id="rId117" Type="http://schemas.openxmlformats.org/officeDocument/2006/relationships/hyperlink" Target="https://www.google.com/maps/place/Lagos+de+Moreno/data=!4m2!3m1!19sChIJO14MpyTSK4QRUaU0txjmpxk" TargetMode="External"/><Relationship Id="rId116" Type="http://schemas.openxmlformats.org/officeDocument/2006/relationships/hyperlink" Target="https://www.google.com/maps/place/San+Jos%C3%A9+Iturbide/data=!4m2!3m1!19sChIJ9epazgS71IURctdVKLaMYEg" TargetMode="External"/><Relationship Id="rId115" Type="http://schemas.openxmlformats.org/officeDocument/2006/relationships/hyperlink" Target="https://www.google.com/maps/place/Quer%C3%A9taro/data=!4m2!3m1!19sChIJVZJb3I9b04URL4MbVqqUsJc" TargetMode="External"/><Relationship Id="rId119" Type="http://schemas.openxmlformats.org/officeDocument/2006/relationships/hyperlink" Target="https://www.google.com/maps/place/Quer%C3%A9taro/data=!4m2!3m1!19sChIJVZJb3I9b04URL4MbVqqUsJc" TargetMode="External"/><Relationship Id="rId15" Type="http://schemas.openxmlformats.org/officeDocument/2006/relationships/hyperlink" Target="https://www.google.com/maps/place/Monterrey/data=!4m2!3m1!19sChIJ9fg3tDGVYoYRlJjIasrT06M" TargetMode="External"/><Relationship Id="rId110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17" Type="http://schemas.openxmlformats.org/officeDocument/2006/relationships/hyperlink" Target="https://www.google.com/maps/place/Puebla/data=!4m2!3m1!19sChIJO3q8Xr3Az4URla2U5B1Gpkg" TargetMode="External"/><Relationship Id="rId16" Type="http://schemas.openxmlformats.org/officeDocument/2006/relationships/hyperlink" Target="https://www.google.com/maps/place/CDMX/data=!4m2!3m1!19sChIJJyk1sTYAzoURW4rR6E6e_d4" TargetMode="External"/><Relationship Id="rId19" Type="http://schemas.openxmlformats.org/officeDocument/2006/relationships/hyperlink" Target="https://www.google.com/maps/place/CDMX/data=!4m2!3m1!19sChIJJyk1sTYAzoURW4rR6E6e_d4" TargetMode="External"/><Relationship Id="rId114" Type="http://schemas.openxmlformats.org/officeDocument/2006/relationships/hyperlink" Target="https://www.google.com/maps/place/Lagos+de+Moreno/data=!4m2!3m1!19sChIJO14MpyTSK4QRUaU0txjmpxk" TargetMode="External"/><Relationship Id="rId18" Type="http://schemas.openxmlformats.org/officeDocument/2006/relationships/hyperlink" Target="https://www.google.com/maps/place/Leon/data=!4m2!3m1!19sChIJIefm1v--K4QRJ0OlYeyVbWA" TargetMode="External"/><Relationship Id="rId113" Type="http://schemas.openxmlformats.org/officeDocument/2006/relationships/hyperlink" Target="https://www.google.com/maps/place/Quer%C3%A9taro/data=!4m2!3m1!19sChIJVZJb3I9b04URL4MbVqqUsJc" TargetMode="External"/><Relationship Id="rId112" Type="http://schemas.openxmlformats.org/officeDocument/2006/relationships/hyperlink" Target="https://www.google.com/maps/place/Chihuahua/data=!4m2!3m1!19sChIJM0BIXZ1E6oYRex3dBqen8bc" TargetMode="External"/><Relationship Id="rId111" Type="http://schemas.openxmlformats.org/officeDocument/2006/relationships/hyperlink" Target="https://www.google.com/maps/place/Morelia/data=!4m2!3m1!19sChIJ46edsqILLYQRIIacZ3hpAQQ" TargetMode="External"/><Relationship Id="rId84" Type="http://schemas.openxmlformats.org/officeDocument/2006/relationships/hyperlink" Target="https://www.google.com/maps/place/Leon/data=!4m2!3m1!19sChIJIefm1v--K4QRJ0OlYeyVbWA" TargetMode="External"/><Relationship Id="rId83" Type="http://schemas.openxmlformats.org/officeDocument/2006/relationships/hyperlink" Target="https://www.google.com/maps/place/Merida/data=!4m2!3m1!19sChIJFw1Fq1xxVo8RCeurFVcV_F0" TargetMode="External"/><Relationship Id="rId86" Type="http://schemas.openxmlformats.org/officeDocument/2006/relationships/hyperlink" Target="https://www.google.com/maps/place/Celaya/data=!4m2!3m1!19sChIJdcZgHmS6LIQRRyd9mq3Tj5k" TargetMode="External"/><Relationship Id="rId85" Type="http://schemas.openxmlformats.org/officeDocument/2006/relationships/hyperlink" Target="https://www.google.com/maps/place/Monterrey/data=!4m2!3m1!19sChIJ9fg3tDGVYoYRlJjIasrT06M" TargetMode="External"/><Relationship Id="rId88" Type="http://schemas.openxmlformats.org/officeDocument/2006/relationships/hyperlink" Target="https://www.google.com/maps/place/Chihuahua/data=!4m2!3m1!19sChIJM0BIXZ1E6oYRex3dBqen8bc" TargetMode="External"/><Relationship Id="rId87" Type="http://schemas.openxmlformats.org/officeDocument/2006/relationships/hyperlink" Target="https://www.google.com/maps/place/Quer%C3%A9taro/data=!4m2!3m1!19sChIJVZJb3I9b04URL4MbVqqUsJc" TargetMode="External"/><Relationship Id="rId89" Type="http://schemas.openxmlformats.org/officeDocument/2006/relationships/hyperlink" Target="https://www.google.com/maps/place/CDMX/data=!4m2!3m1!19sChIJJyk1sTYAzoURW4rR6E6e_d4" TargetMode="External"/><Relationship Id="rId80" Type="http://schemas.openxmlformats.org/officeDocument/2006/relationships/hyperlink" Target="https://www.google.com/maps/place/Baj%C3%ADo/data=!4m2!3m1!19sChIJBcUTP1uOLIQRuxcIWnAJuVM" TargetMode="External"/><Relationship Id="rId82" Type="http://schemas.openxmlformats.org/officeDocument/2006/relationships/hyperlink" Target="https://www.google.com/maps/place/Celaya/data=!4m2!3m1!19sChIJdcZgHmS6LIQRRyd9mq3Tj5k" TargetMode="External"/><Relationship Id="rId81" Type="http://schemas.openxmlformats.org/officeDocument/2006/relationships/hyperlink" Target="https://www.google.com/maps/place/Coahuila/data=!4m2!3m1!19sChIJKR6Opr1yiIYROXrNFNeaAGQ" TargetMode="External"/><Relationship Id="rId1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Leon/data=!4m2!3m1!19sChIJIefm1v--K4QRJ0OlYeyVbWA" TargetMode="External"/><Relationship Id="rId149" Type="http://schemas.openxmlformats.org/officeDocument/2006/relationships/drawing" Target="../drawings/drawing6.xml"/><Relationship Id="rId4" Type="http://schemas.openxmlformats.org/officeDocument/2006/relationships/hyperlink" Target="https://www.google.com/maps/place/CDMX/data=!4m2!3m1!19sChIJJyk1sTYAzoURW4rR6E6e_d4" TargetMode="External"/><Relationship Id="rId148" Type="http://schemas.openxmlformats.org/officeDocument/2006/relationships/hyperlink" Target="https://www.google.com/maps/place/Ciudad+de+M%C3%A9xico/data=!4m2!3m1!19sChIJB3UJ2yYAzoURQeheJnYQBlQ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143" Type="http://schemas.openxmlformats.org/officeDocument/2006/relationships/hyperlink" Target="https://www.google.com/maps/place/DESMEX+SOLAR/data=!4m2!3m1!19sChIJJ9FgIIjaj4YRS3JIZSOisIw" TargetMode="External"/><Relationship Id="rId142" Type="http://schemas.openxmlformats.org/officeDocument/2006/relationships/hyperlink" Target="https://www.google.com/maps/place/CDMX/data=!4m2!3m1!19sChIJJyk1sTYAzoURW4rR6E6e_d4" TargetMode="External"/><Relationship Id="rId141" Type="http://schemas.openxmlformats.org/officeDocument/2006/relationships/hyperlink" Target="https://www.google.com/maps/place/CDMX/data=!4m2!3m1!19sChIJJyk1sTYAzoURW4rR6E6e_d4" TargetMode="External"/><Relationship Id="rId140" Type="http://schemas.openxmlformats.org/officeDocument/2006/relationships/hyperlink" Target="https://www.google.com/maps/place/Ciudad+de+M%C3%A9xico/data=!4m2!3m1!19sChIJB3UJ2yYAzoURQeheJnYQBlQ" TargetMode="External"/><Relationship Id="rId5" Type="http://schemas.openxmlformats.org/officeDocument/2006/relationships/hyperlink" Target="https://www.google.com/maps/place/CDMX/data=!4m2!3m1!19sChIJJyk1sTYAzoURW4rR6E6e_d4" TargetMode="External"/><Relationship Id="rId147" Type="http://schemas.openxmlformats.org/officeDocument/2006/relationships/hyperlink" Target="https://www.google.com/maps/place/CDMX/data=!4m2!3m1!19sChIJJyk1sTYAzoURW4rR6E6e_d4" TargetMode="External"/><Relationship Id="rId6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145" Type="http://schemas.openxmlformats.org/officeDocument/2006/relationships/hyperlink" Target="https://www.google.com/maps/place/CDMX/data=!4m2!3m1!19sChIJJyk1sTYAzoURW4rR6E6e_d4" TargetMode="External"/><Relationship Id="rId8" Type="http://schemas.openxmlformats.org/officeDocument/2006/relationships/hyperlink" Target="https://www.google.com/maps/place/Monterrey/data=!4m2!3m1!19sChIJ9fg3tDGVYoYRlJjIasrT06M" TargetMode="External"/><Relationship Id="rId144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Aguascalientes/data=!4m2!3m1!19sChIJ-9nkOhTsKYQRIFKcZ3hpAQQ" TargetMode="External"/><Relationship Id="rId72" Type="http://schemas.openxmlformats.org/officeDocument/2006/relationships/hyperlink" Target="https://www.google.com/maps/place/Estado+de+M%C3%A9xico/data=!4m2!3m1!19sChIJOwrrwJKJzYURV6jFn775_sI" TargetMode="External"/><Relationship Id="rId75" Type="http://schemas.openxmlformats.org/officeDocument/2006/relationships/hyperlink" Target="https://www.google.com/maps/place/Monterrey/data=!4m2!3m1!19sChIJ9fg3tDGVYoYRlJjIasrT06M" TargetMode="External"/><Relationship Id="rId74" Type="http://schemas.openxmlformats.org/officeDocument/2006/relationships/hyperlink" Target="https://www.google.com/maps/place/San+Luis+Potos%C3%AD/data=!4m2!3m1!19sChIJefusBQCiKoQRV4Lhrynu0g4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76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Monterrey/data=!4m2!3m1!19sChIJ9fg3tDGVYoYRlJjIasrT06M" TargetMode="External"/><Relationship Id="rId78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Apaseo+el+Grande/data=!4m2!3m1!19sChIJC48rhGmyLIQRUaovo8hUffw" TargetMode="External"/><Relationship Id="rId70" Type="http://schemas.openxmlformats.org/officeDocument/2006/relationships/hyperlink" Target="https://www.google.com/maps/place/Monterrey/data=!4m2!3m1!19sChIJ9fg3tDGVYoYRlJjIasrT06M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138" Type="http://schemas.openxmlformats.org/officeDocument/2006/relationships/hyperlink" Target="https://www.google.com/maps/place/Quer%C3%A9taro/data=!4m2!3m1!19sChIJVZJb3I9b04URL4MbVqqUsJc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132" Type="http://schemas.openxmlformats.org/officeDocument/2006/relationships/hyperlink" Target="https://www.google.com/maps/place/Ciudad+de+M%C3%A9xico/data=!4m2!3m1!19sChIJB3UJ2yYAzoURQeheJnYQBlQ" TargetMode="External"/><Relationship Id="rId131" Type="http://schemas.openxmlformats.org/officeDocument/2006/relationships/hyperlink" Target="https://www.google.com/maps/place/Celaya/data=!4m2!3m1!19sChIJdcZgHmS6LIQRRyd9mq3Tj5k" TargetMode="External"/><Relationship Id="rId130" Type="http://schemas.openxmlformats.org/officeDocument/2006/relationships/hyperlink" Target="https://www.google.com/maps/place/Celaya/data=!4m2!3m1!19sChIJdcZgHmS6LIQRRyd9mq3Tj5k" TargetMode="External"/><Relationship Id="rId136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iudad+de+M%C3%A9xico/data=!4m2!3m1!19sChIJB3UJ2yYAzoURQeheJnYQBlQ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133" Type="http://schemas.openxmlformats.org/officeDocument/2006/relationships/hyperlink" Target="https://www.google.com/maps/place/Mexico/data=!4m2!3m1!19sChIJU1NoiDs6BIQREZgJa760ZO0" TargetMode="External"/><Relationship Id="rId62" Type="http://schemas.openxmlformats.org/officeDocument/2006/relationships/hyperlink" Target="https://www.google.com/maps/place/Ciudad+de+M%C3%A9xico/data=!4m2!3m1!19sChIJB3UJ2yYAzoURQeheJnYQBlQ" TargetMode="External"/><Relationship Id="rId61" Type="http://schemas.openxmlformats.org/officeDocument/2006/relationships/hyperlink" Target="https://www.google.com/maps/place/Leon/data=!4m2!3m1!19sChIJIefm1v--K4QRJ0OlYeyVbWA" TargetMode="External"/><Relationship Id="rId64" Type="http://schemas.openxmlformats.org/officeDocument/2006/relationships/hyperlink" Target="https://www.google.com/maps/place/Cuernavaca/data=!4m2!3m1!19sChIJra8im0nezYURoZC3ubW8tsk" TargetMode="External"/><Relationship Id="rId63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Silao/data=!4m2!3m1!19sChIJSXXrm3icK4QR0r0VsIk7zEs" TargetMode="External"/><Relationship Id="rId65" Type="http://schemas.openxmlformats.org/officeDocument/2006/relationships/hyperlink" Target="https://www.google.com/maps/place/Cuernavaca/data=!4m2!3m1!19sChIJra8im0nezYURoZC3ubW8tsk" TargetMode="External"/><Relationship Id="rId68" Type="http://schemas.openxmlformats.org/officeDocument/2006/relationships/hyperlink" Target="https://www.google.com/maps/place/Quer%C3%A9taro/data=!4m2!3m1!19sChIJVZJb3I9b04URL4MbVqqUsJc" TargetMode="External"/><Relationship Id="rId67" Type="http://schemas.openxmlformats.org/officeDocument/2006/relationships/hyperlink" Target="https://www.google.com/maps/place/Tabasco/data=!4m2!3m1!19sChIJT8t4j1_77YURRGuG2RHLJtQ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9" Type="http://schemas.openxmlformats.org/officeDocument/2006/relationships/hyperlink" Target="https://www.google.com/maps/place/Baj%C3%ADo/data=!4m2!3m1!19sChIJBcUTP1uOLIQRuxcIWnAJuV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3" Type="http://schemas.openxmlformats.org/officeDocument/2006/relationships/hyperlink" Target="https://www.google.com/maps/place/Celaya/data=!4m2!3m1!19sChIJdcZgHmS6LIQRRyd9mq3Tj5k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57" Type="http://schemas.openxmlformats.org/officeDocument/2006/relationships/hyperlink" Target="https://www.google.com/maps/place/Merida/data=!4m2!3m1!19sChIJFw1Fq1xxVo8RCeurFVcV_F0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151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linkedin.com/in/alejandroromeroherrera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6" Type="http://schemas.openxmlformats.org/officeDocument/2006/relationships/hyperlink" Target="https://www.linkedin.com/in/jose-luis-garcia-pares-5222ab53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37" Type="http://schemas.openxmlformats.org/officeDocument/2006/relationships/hyperlink" Target="https://www.linkedin.com/in/rodrigo-garc%C3%ADa-perez-66267736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1" Type="http://schemas.openxmlformats.org/officeDocument/2006/relationships/hyperlink" Target="https://www.linkedin.com/in/hugo-zuno-826b05213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6" Type="http://schemas.openxmlformats.org/officeDocument/2006/relationships/hyperlink" Target="https://www.linkedin.com/in/iqi-pamela-mendoza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27" Type="http://schemas.openxmlformats.org/officeDocument/2006/relationships/hyperlink" Target="https://www.linkedin.com/in/mauro-castillo-3172a318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5" Type="http://schemas.openxmlformats.org/officeDocument/2006/relationships/hyperlink" Target="https://www.linkedin.com/in/jibran-s%C3%A1nchez-59938418b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17" Type="http://schemas.openxmlformats.org/officeDocument/2006/relationships/hyperlink" Target="https://www.linkedin.com/in/hugo-pe%C3%B1a-48b0a4108/overlay/about-this-profile/" TargetMode="External"/><Relationship Id="rId16" Type="http://schemas.openxmlformats.org/officeDocument/2006/relationships/hyperlink" Target="https://www.linkedin.com/in/adriana-villa-3aa95b136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83" Type="http://schemas.openxmlformats.org/officeDocument/2006/relationships/hyperlink" Target="https://www.linkedin.com/in/armando-perez-17077636/overlay/about-this-profile/" TargetMode="External"/><Relationship Id="rId85" Type="http://schemas.openxmlformats.org/officeDocument/2006/relationships/drawing" Target="../drawings/drawing9.xml"/><Relationship Id="rId87" Type="http://schemas.openxmlformats.org/officeDocument/2006/relationships/table" Target="../tables/table9.xml"/><Relationship Id="rId80" Type="http://schemas.openxmlformats.org/officeDocument/2006/relationships/hyperlink" Target="https://www.linkedin.com/in/rogelio-sanchez-vara-80729256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2" Type="http://schemas.openxmlformats.org/officeDocument/2006/relationships/hyperlink" Target="https://www.linkedin.com/in/sharon-bajonero-helgueras-96b6b2197/overlay/about-this-profile/" TargetMode="External"/><Relationship Id="rId3" Type="http://schemas.openxmlformats.org/officeDocument/2006/relationships/hyperlink" Target="https://www.linkedin.com/in/santiago-cruz-montalvo-03a0aa141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6" Type="http://schemas.openxmlformats.org/officeDocument/2006/relationships/hyperlink" Target="https://www.linkedin.com/in/pablo-reydezel-covarrubias-84790619/overlay/about-this-profile/" TargetMode="External"/><Relationship Id="rId7" Type="http://schemas.openxmlformats.org/officeDocument/2006/relationships/hyperlink" Target="https://www.linkedin.com/in/omar-saucedo-briones-110191165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73" Type="http://schemas.openxmlformats.org/officeDocument/2006/relationships/hyperlink" Target="https://www.linkedin.com/in/alejandro-ortega-olguin-b5802b307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9" Type="http://schemas.openxmlformats.org/officeDocument/2006/relationships/hyperlink" Target="https://www.linkedin.com/in/proyectos-manager-procurement-pmo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62" Type="http://schemas.openxmlformats.org/officeDocument/2006/relationships/hyperlink" Target="https://www.linkedin.com/in/alejandro-zavaleta-770177a6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58" Type="http://schemas.openxmlformats.org/officeDocument/2006/relationships/hyperlink" Target="https://www.linkedin.com/in/israel-garcia-2aa19411b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min="2" max="2" width="13.25"/>
    <col customWidth="1" min="3" max="3" width="21.88"/>
    <col customWidth="1" min="4" max="4" width="60.88"/>
    <col customWidth="1" min="5" max="5" width="24.38"/>
    <col customWidth="1" min="6" max="6" width="19.38"/>
    <col customWidth="1" min="7" max="7" width="26.5"/>
    <col customWidth="1" min="8" max="8" width="27.88"/>
    <col customWidth="1" min="9" max="10" width="23.25"/>
    <col customWidth="1" min="11" max="11" width="24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2" t="s">
        <v>11</v>
      </c>
      <c r="B2" s="3">
        <v>45711.0</v>
      </c>
      <c r="C2" s="4" t="s">
        <v>12</v>
      </c>
      <c r="D2" s="5" t="s">
        <v>13</v>
      </c>
      <c r="E2" s="6">
        <v>16000.0</v>
      </c>
      <c r="F2" s="7"/>
      <c r="G2" s="8">
        <v>5.0</v>
      </c>
      <c r="H2" s="8">
        <v>5.0</v>
      </c>
      <c r="I2" s="8">
        <v>5.0</v>
      </c>
      <c r="J2" s="8">
        <v>2.0</v>
      </c>
      <c r="K2" s="8">
        <v>5.0</v>
      </c>
    </row>
    <row r="3" ht="22.5" customHeight="1">
      <c r="A3" s="2" t="s">
        <v>14</v>
      </c>
      <c r="B3" s="3">
        <v>45740.0</v>
      </c>
      <c r="C3" s="4" t="s">
        <v>15</v>
      </c>
      <c r="D3" s="5" t="s">
        <v>13</v>
      </c>
      <c r="E3" s="6">
        <v>2000.0</v>
      </c>
      <c r="F3" s="7"/>
      <c r="G3" s="8">
        <v>6.0</v>
      </c>
      <c r="H3" s="8">
        <v>6.0</v>
      </c>
      <c r="I3" s="8">
        <v>6.0</v>
      </c>
      <c r="J3" s="8">
        <v>1.0</v>
      </c>
      <c r="K3" s="8">
        <v>6.0</v>
      </c>
    </row>
    <row r="4" ht="22.5" customHeight="1">
      <c r="A4" s="2" t="s">
        <v>16</v>
      </c>
      <c r="B4" s="3">
        <v>45772.0</v>
      </c>
      <c r="C4" s="4" t="s">
        <v>17</v>
      </c>
      <c r="D4" s="5" t="s">
        <v>18</v>
      </c>
      <c r="E4" s="6">
        <v>400.0</v>
      </c>
      <c r="F4" s="7"/>
      <c r="G4" s="8">
        <v>7.0</v>
      </c>
      <c r="H4" s="8">
        <v>7.0</v>
      </c>
      <c r="I4" s="8">
        <v>7.0</v>
      </c>
      <c r="J4" s="8">
        <v>7.0</v>
      </c>
      <c r="K4" s="8">
        <v>7.0</v>
      </c>
    </row>
    <row r="5" ht="22.5" customHeight="1">
      <c r="A5" s="2" t="s">
        <v>19</v>
      </c>
      <c r="B5" s="3">
        <v>45803.0</v>
      </c>
      <c r="C5" s="4" t="s">
        <v>20</v>
      </c>
      <c r="D5" s="5" t="s">
        <v>18</v>
      </c>
      <c r="E5" s="6">
        <v>500.0</v>
      </c>
      <c r="F5" s="7"/>
      <c r="G5" s="8">
        <v>8.0</v>
      </c>
      <c r="H5" s="8">
        <v>8.0</v>
      </c>
      <c r="I5" s="8">
        <v>8.0</v>
      </c>
      <c r="J5" s="8">
        <v>2.0</v>
      </c>
      <c r="K5" s="8">
        <v>8.0</v>
      </c>
    </row>
    <row r="6" ht="22.5" customHeight="1">
      <c r="A6" s="2" t="s">
        <v>21</v>
      </c>
      <c r="B6" s="3">
        <v>45835.0</v>
      </c>
      <c r="C6" s="9" t="s">
        <v>17</v>
      </c>
      <c r="D6" s="10" t="s">
        <v>22</v>
      </c>
      <c r="E6" s="11">
        <v>800.0</v>
      </c>
      <c r="F6" s="12"/>
      <c r="G6" s="13">
        <v>9.0</v>
      </c>
      <c r="H6" s="13">
        <v>9.0</v>
      </c>
      <c r="I6" s="13">
        <v>9.0</v>
      </c>
      <c r="J6" s="13">
        <v>4.0</v>
      </c>
      <c r="K6" s="13">
        <v>9.0</v>
      </c>
    </row>
  </sheetData>
  <dataValidations>
    <dataValidation type="list" allowBlank="1" sqref="C2:C6">
      <formula1>"Josué,Rebeca,Marco,Alexandro"</formula1>
    </dataValidation>
    <dataValidation type="custom" allowBlank="1" showDropDown="1" sqref="B2:B6">
      <formula1>OR(NOT(ISERROR(DATEVALUE(B2))), AND(ISNUMBER(B2), LEFT(CELL("format", B2))="D"))</formula1>
    </dataValidation>
    <dataValidation type="list" allowBlank="1" sqref="D2:D6">
      <formula1>"Gasolina + Casetas,Viáticos,Hospedaje"</formula1>
    </dataValidation>
    <dataValidation type="custom" allowBlank="1" showDropDown="1" sqref="E2:E6 G2:K6">
      <formula1>AND(ISNUMBER(E2),(NOT(OR(NOT(ISERROR(DATEVALUE(E2))), AND(ISNUMBER(E2), LEFT(CELL("format", E2))="D")))))</formula1>
    </dataValidation>
    <dataValidation allowBlank="1" showDropDown="1" sqref="A2:A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5.38"/>
    <col customWidth="1" min="3" max="3" width="20.63"/>
    <col customWidth="1" min="4" max="4" width="18.88"/>
    <col customWidth="1" min="5" max="5" width="30.88"/>
    <col customWidth="1" min="6" max="6" width="37.75"/>
    <col customWidth="1" min="7" max="7" width="27.38"/>
    <col customWidth="1" min="8" max="8" width="24.75"/>
    <col customWidth="1" min="9" max="9" width="25.13"/>
    <col customWidth="1" min="10" max="10" width="28.63"/>
    <col customWidth="1" min="11" max="11" width="23.25"/>
  </cols>
  <sheetData>
    <row r="1" ht="22.5" customHeight="1">
      <c r="A1" s="14" t="s">
        <v>23</v>
      </c>
      <c r="B1" s="14" t="s">
        <v>24</v>
      </c>
      <c r="C1" s="14" t="s">
        <v>25</v>
      </c>
      <c r="D1" s="14" t="s">
        <v>26</v>
      </c>
      <c r="E1" s="14" t="s">
        <v>27</v>
      </c>
      <c r="F1" s="14" t="s">
        <v>28</v>
      </c>
      <c r="G1" s="14" t="s">
        <v>29</v>
      </c>
      <c r="H1" s="14" t="s">
        <v>30</v>
      </c>
      <c r="I1" s="14" t="s">
        <v>31</v>
      </c>
      <c r="J1" s="14" t="s">
        <v>32</v>
      </c>
      <c r="K1" s="14" t="s">
        <v>33</v>
      </c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ht="22.5" customHeight="1">
      <c r="A2" s="16" t="s">
        <v>34</v>
      </c>
      <c r="B2" s="17" t="s">
        <v>35</v>
      </c>
      <c r="C2" s="17" t="s">
        <v>36</v>
      </c>
      <c r="D2" s="18"/>
      <c r="E2" s="19"/>
      <c r="F2" s="9" t="s">
        <v>37</v>
      </c>
      <c r="G2" s="20">
        <v>46043.0</v>
      </c>
      <c r="H2" s="11" t="s">
        <v>38</v>
      </c>
      <c r="I2" s="21"/>
      <c r="J2" s="22" t="s">
        <v>39</v>
      </c>
      <c r="K2" s="23" t="s">
        <v>40</v>
      </c>
    </row>
    <row r="3" ht="22.5" customHeight="1">
      <c r="A3" s="16" t="s">
        <v>41</v>
      </c>
      <c r="B3" s="17" t="s">
        <v>42</v>
      </c>
      <c r="C3" s="17" t="s">
        <v>43</v>
      </c>
      <c r="D3" s="18"/>
      <c r="E3" s="19"/>
      <c r="F3" s="9" t="s">
        <v>37</v>
      </c>
      <c r="G3" s="20">
        <v>46043.0</v>
      </c>
      <c r="H3" s="11">
        <v>385000.0</v>
      </c>
      <c r="I3" s="21"/>
      <c r="J3" s="22" t="s">
        <v>39</v>
      </c>
      <c r="K3" s="23" t="s">
        <v>40</v>
      </c>
    </row>
    <row r="4" ht="22.5" customHeight="1">
      <c r="A4" s="16" t="s">
        <v>44</v>
      </c>
      <c r="B4" s="17" t="s">
        <v>45</v>
      </c>
      <c r="C4" s="17" t="s">
        <v>46</v>
      </c>
      <c r="D4" s="18"/>
      <c r="E4" s="19"/>
      <c r="F4" s="9" t="s">
        <v>47</v>
      </c>
      <c r="G4" s="20">
        <v>45842.0</v>
      </c>
      <c r="H4" s="11">
        <v>416563.07</v>
      </c>
      <c r="I4" s="21"/>
      <c r="J4" s="22" t="s">
        <v>48</v>
      </c>
      <c r="K4" s="23" t="s">
        <v>40</v>
      </c>
    </row>
    <row r="5" ht="22.5" customHeight="1">
      <c r="A5" s="16" t="s">
        <v>49</v>
      </c>
      <c r="B5" s="17" t="s">
        <v>50</v>
      </c>
      <c r="C5" s="17" t="s">
        <v>51</v>
      </c>
      <c r="D5" s="18"/>
      <c r="E5" s="19"/>
      <c r="F5" s="9" t="s">
        <v>47</v>
      </c>
      <c r="G5" s="20">
        <v>45957.0</v>
      </c>
      <c r="H5" s="11">
        <v>216144.98</v>
      </c>
      <c r="I5" s="21"/>
      <c r="J5" s="22" t="s">
        <v>48</v>
      </c>
      <c r="K5" s="23" t="s">
        <v>40</v>
      </c>
    </row>
    <row r="6" ht="22.5" customHeight="1">
      <c r="A6" s="16" t="s">
        <v>52</v>
      </c>
      <c r="B6" s="24" t="s">
        <v>53</v>
      </c>
      <c r="C6" s="24" t="s">
        <v>54</v>
      </c>
      <c r="D6" s="25"/>
      <c r="E6" s="26"/>
      <c r="F6" s="27" t="s">
        <v>55</v>
      </c>
      <c r="G6" s="28">
        <v>45217.0</v>
      </c>
      <c r="H6" s="29">
        <v>444000.0</v>
      </c>
      <c r="I6" s="30"/>
      <c r="J6" s="31" t="s">
        <v>56</v>
      </c>
      <c r="K6" s="32" t="s">
        <v>40</v>
      </c>
    </row>
    <row r="7" ht="22.5" customHeight="1">
      <c r="A7" s="16" t="s">
        <v>57</v>
      </c>
      <c r="B7" s="33" t="s">
        <v>58</v>
      </c>
      <c r="C7" s="33" t="s">
        <v>59</v>
      </c>
      <c r="D7" s="34"/>
      <c r="E7" s="35"/>
      <c r="F7" s="36" t="s">
        <v>47</v>
      </c>
      <c r="G7" s="37">
        <v>45212.0</v>
      </c>
      <c r="H7" s="38">
        <v>510132.0</v>
      </c>
      <c r="I7" s="39"/>
      <c r="J7" s="40" t="s">
        <v>48</v>
      </c>
      <c r="K7" s="41" t="s">
        <v>40</v>
      </c>
    </row>
    <row r="8" ht="22.5" customHeight="1">
      <c r="A8" s="16" t="s">
        <v>60</v>
      </c>
      <c r="B8" s="33" t="s">
        <v>61</v>
      </c>
      <c r="C8" s="33" t="s">
        <v>62</v>
      </c>
      <c r="D8" s="34"/>
      <c r="E8" s="35"/>
      <c r="F8" s="36" t="s">
        <v>63</v>
      </c>
      <c r="G8" s="37">
        <v>45273.0</v>
      </c>
      <c r="H8" s="38">
        <v>466417.0</v>
      </c>
      <c r="I8" s="39"/>
      <c r="J8" s="40" t="s">
        <v>48</v>
      </c>
      <c r="K8" s="41" t="s">
        <v>40</v>
      </c>
    </row>
    <row r="9" ht="22.5" customHeight="1">
      <c r="A9" s="16" t="s">
        <v>64</v>
      </c>
      <c r="B9" s="24" t="s">
        <v>65</v>
      </c>
      <c r="C9" s="24" t="s">
        <v>66</v>
      </c>
      <c r="D9" s="25"/>
      <c r="E9" s="26"/>
      <c r="F9" s="27" t="s">
        <v>67</v>
      </c>
      <c r="G9" s="28">
        <v>45686.0</v>
      </c>
      <c r="H9" s="29">
        <v>738929.43</v>
      </c>
      <c r="I9" s="30"/>
      <c r="J9" s="31" t="s">
        <v>48</v>
      </c>
      <c r="K9" s="32" t="s">
        <v>40</v>
      </c>
    </row>
    <row r="10" ht="22.5" customHeight="1">
      <c r="A10" s="16" t="s">
        <v>68</v>
      </c>
      <c r="B10" s="33" t="s">
        <v>69</v>
      </c>
      <c r="C10" s="33" t="s">
        <v>70</v>
      </c>
      <c r="D10" s="34"/>
      <c r="E10" s="35"/>
      <c r="F10" s="36" t="s">
        <v>47</v>
      </c>
      <c r="G10" s="37">
        <v>45839.0</v>
      </c>
      <c r="H10" s="38">
        <v>132870.0</v>
      </c>
      <c r="I10" s="39"/>
      <c r="J10" s="40" t="s">
        <v>39</v>
      </c>
      <c r="K10" s="41" t="s">
        <v>40</v>
      </c>
    </row>
    <row r="11" ht="22.5" customHeight="1">
      <c r="A11" s="16" t="s">
        <v>71</v>
      </c>
      <c r="B11" s="24" t="s">
        <v>72</v>
      </c>
      <c r="C11" s="24" t="s">
        <v>73</v>
      </c>
      <c r="D11" s="25"/>
      <c r="E11" s="26"/>
      <c r="F11" s="27" t="s">
        <v>63</v>
      </c>
      <c r="G11" s="28">
        <v>45434.0</v>
      </c>
      <c r="H11" s="29">
        <v>229210.1</v>
      </c>
      <c r="I11" s="30"/>
      <c r="J11" s="31" t="s">
        <v>39</v>
      </c>
      <c r="K11" s="32" t="s">
        <v>40</v>
      </c>
    </row>
    <row r="12" ht="22.5" customHeight="1">
      <c r="A12" s="16" t="s">
        <v>74</v>
      </c>
      <c r="B12" s="33" t="s">
        <v>75</v>
      </c>
      <c r="C12" s="33" t="s">
        <v>76</v>
      </c>
      <c r="D12" s="34"/>
      <c r="E12" s="35"/>
      <c r="F12" s="36" t="s">
        <v>63</v>
      </c>
      <c r="G12" s="37">
        <v>45400.0</v>
      </c>
      <c r="H12" s="38">
        <v>471970.5</v>
      </c>
      <c r="I12" s="39"/>
      <c r="J12" s="40" t="s">
        <v>39</v>
      </c>
      <c r="K12" s="41" t="s">
        <v>40</v>
      </c>
    </row>
    <row r="13" ht="22.5" customHeight="1">
      <c r="A13" s="16" t="s">
        <v>77</v>
      </c>
      <c r="B13" s="24" t="s">
        <v>78</v>
      </c>
      <c r="C13" s="24" t="s">
        <v>79</v>
      </c>
      <c r="D13" s="25"/>
      <c r="E13" s="26"/>
      <c r="F13" s="27" t="s">
        <v>47</v>
      </c>
      <c r="G13" s="28">
        <v>46305.0</v>
      </c>
      <c r="H13" s="29">
        <v>459039.0</v>
      </c>
      <c r="I13" s="30"/>
      <c r="J13" s="31" t="s">
        <v>48</v>
      </c>
      <c r="K13" s="32" t="s">
        <v>40</v>
      </c>
    </row>
    <row r="14" ht="22.5" customHeight="1">
      <c r="A14" s="16" t="s">
        <v>80</v>
      </c>
      <c r="B14" s="33" t="s">
        <v>81</v>
      </c>
      <c r="C14" s="33" t="s">
        <v>82</v>
      </c>
      <c r="D14" s="34"/>
      <c r="E14" s="35"/>
      <c r="F14" s="36" t="s">
        <v>67</v>
      </c>
      <c r="G14" s="37">
        <v>45403.0</v>
      </c>
      <c r="H14" s="38">
        <v>379000.0</v>
      </c>
      <c r="I14" s="39"/>
      <c r="J14" s="40" t="s">
        <v>48</v>
      </c>
      <c r="K14" s="41" t="s">
        <v>40</v>
      </c>
    </row>
    <row r="15" ht="22.5" customHeight="1">
      <c r="A15" s="16" t="s">
        <v>83</v>
      </c>
      <c r="B15" s="24" t="s">
        <v>84</v>
      </c>
      <c r="C15" s="24" t="s">
        <v>85</v>
      </c>
      <c r="D15" s="25"/>
      <c r="E15" s="26"/>
      <c r="F15" s="27" t="s">
        <v>55</v>
      </c>
      <c r="G15" s="28">
        <v>45553.0</v>
      </c>
      <c r="H15" s="29">
        <v>1594425.62</v>
      </c>
      <c r="I15" s="30"/>
      <c r="J15" s="31" t="s">
        <v>48</v>
      </c>
      <c r="K15" s="32" t="s">
        <v>40</v>
      </c>
    </row>
    <row r="16" ht="22.5" customHeight="1">
      <c r="A16" s="16" t="s">
        <v>86</v>
      </c>
      <c r="B16" s="33"/>
      <c r="C16" s="33" t="s">
        <v>87</v>
      </c>
      <c r="D16" s="34"/>
      <c r="E16" s="35"/>
      <c r="F16" s="36"/>
      <c r="G16" s="42"/>
      <c r="H16" s="43"/>
      <c r="I16" s="39"/>
      <c r="J16" s="44"/>
      <c r="K16" s="41" t="s">
        <v>40</v>
      </c>
    </row>
    <row r="17" ht="22.5" customHeight="1">
      <c r="A17" s="16" t="s">
        <v>88</v>
      </c>
      <c r="B17" s="24" t="s">
        <v>89</v>
      </c>
      <c r="C17" s="24" t="s">
        <v>90</v>
      </c>
      <c r="D17" s="25"/>
      <c r="E17" s="26"/>
      <c r="F17" s="27" t="s">
        <v>55</v>
      </c>
      <c r="G17" s="28">
        <v>45644.0</v>
      </c>
      <c r="H17" s="29">
        <v>310043.62</v>
      </c>
      <c r="I17" s="30"/>
      <c r="J17" s="31" t="s">
        <v>48</v>
      </c>
      <c r="K17" s="32" t="s">
        <v>40</v>
      </c>
    </row>
    <row r="18" ht="22.5" customHeight="1">
      <c r="A18" s="16" t="s">
        <v>91</v>
      </c>
      <c r="B18" s="33" t="s">
        <v>92</v>
      </c>
      <c r="C18" s="33" t="s">
        <v>93</v>
      </c>
      <c r="D18" s="34"/>
      <c r="E18" s="35"/>
      <c r="F18" s="36" t="s">
        <v>63</v>
      </c>
      <c r="G18" s="37">
        <v>45877.0</v>
      </c>
      <c r="H18" s="38">
        <v>545069.58</v>
      </c>
      <c r="I18" s="39"/>
      <c r="J18" s="40" t="s">
        <v>48</v>
      </c>
      <c r="K18" s="41" t="s">
        <v>40</v>
      </c>
    </row>
    <row r="19" ht="22.5" customHeight="1">
      <c r="A19" s="16" t="s">
        <v>94</v>
      </c>
      <c r="B19" s="24" t="s">
        <v>95</v>
      </c>
      <c r="C19" s="24" t="s">
        <v>96</v>
      </c>
      <c r="D19" s="25"/>
      <c r="E19" s="26"/>
      <c r="F19" s="27" t="s">
        <v>55</v>
      </c>
      <c r="G19" s="28">
        <v>45840.0</v>
      </c>
      <c r="H19" s="29">
        <v>269111.63</v>
      </c>
      <c r="I19" s="30"/>
      <c r="J19" s="31" t="s">
        <v>97</v>
      </c>
      <c r="K19" s="32" t="s">
        <v>40</v>
      </c>
    </row>
    <row r="20" ht="22.5" customHeight="1">
      <c r="A20" s="16" t="s">
        <v>98</v>
      </c>
      <c r="B20" s="33" t="s">
        <v>99</v>
      </c>
      <c r="C20" s="33" t="s">
        <v>100</v>
      </c>
      <c r="D20" s="34"/>
      <c r="E20" s="35"/>
      <c r="F20" s="36" t="s">
        <v>63</v>
      </c>
      <c r="G20" s="37">
        <v>45240.0</v>
      </c>
      <c r="H20" s="38">
        <v>1767423.04</v>
      </c>
      <c r="I20" s="39"/>
      <c r="J20" s="40" t="s">
        <v>97</v>
      </c>
      <c r="K20" s="41" t="s">
        <v>40</v>
      </c>
    </row>
    <row r="21" ht="22.5" customHeight="1">
      <c r="A21" s="16" t="s">
        <v>101</v>
      </c>
      <c r="B21" s="24" t="s">
        <v>102</v>
      </c>
      <c r="C21" s="24" t="s">
        <v>103</v>
      </c>
      <c r="D21" s="25"/>
      <c r="E21" s="26"/>
      <c r="F21" s="27" t="s">
        <v>63</v>
      </c>
      <c r="G21" s="28">
        <v>45364.0</v>
      </c>
      <c r="H21" s="29">
        <v>1363497.7</v>
      </c>
      <c r="I21" s="30"/>
      <c r="J21" s="31" t="s">
        <v>56</v>
      </c>
      <c r="K21" s="32" t="s">
        <v>40</v>
      </c>
    </row>
    <row r="22" ht="22.5" customHeight="1">
      <c r="A22" s="16" t="s">
        <v>104</v>
      </c>
      <c r="B22" s="33" t="s">
        <v>105</v>
      </c>
      <c r="C22" s="33" t="s">
        <v>106</v>
      </c>
      <c r="D22" s="34"/>
      <c r="E22" s="35"/>
      <c r="F22" s="36" t="s">
        <v>55</v>
      </c>
      <c r="G22" s="37">
        <v>45707.0</v>
      </c>
      <c r="H22" s="38">
        <v>377484.29</v>
      </c>
      <c r="I22" s="39"/>
      <c r="J22" s="40" t="s">
        <v>48</v>
      </c>
      <c r="K22" s="41" t="s">
        <v>40</v>
      </c>
    </row>
    <row r="23" ht="22.5" customHeight="1">
      <c r="A23" s="16" t="s">
        <v>107</v>
      </c>
      <c r="B23" s="24" t="s">
        <v>108</v>
      </c>
      <c r="C23" s="24" t="s">
        <v>109</v>
      </c>
      <c r="D23" s="25"/>
      <c r="E23" s="26"/>
      <c r="F23" s="27" t="s">
        <v>63</v>
      </c>
      <c r="G23" s="28">
        <v>45943.0</v>
      </c>
      <c r="H23" s="29">
        <v>460536.95</v>
      </c>
      <c r="I23" s="30"/>
      <c r="J23" s="31" t="s">
        <v>39</v>
      </c>
      <c r="K23" s="32" t="s">
        <v>40</v>
      </c>
    </row>
    <row r="24" ht="22.5" customHeight="1">
      <c r="A24" s="16" t="s">
        <v>110</v>
      </c>
      <c r="B24" s="33" t="s">
        <v>111</v>
      </c>
      <c r="C24" s="33" t="s">
        <v>112</v>
      </c>
      <c r="D24" s="34"/>
      <c r="E24" s="35"/>
      <c r="F24" s="36" t="s">
        <v>67</v>
      </c>
      <c r="G24" s="37">
        <v>45953.0</v>
      </c>
      <c r="H24" s="38">
        <v>391355.09</v>
      </c>
      <c r="I24" s="39"/>
      <c r="J24" s="40" t="s">
        <v>48</v>
      </c>
      <c r="K24" s="41" t="s">
        <v>40</v>
      </c>
    </row>
    <row r="25" ht="22.5" customHeight="1">
      <c r="A25" s="16" t="s">
        <v>113</v>
      </c>
      <c r="B25" s="24" t="s">
        <v>114</v>
      </c>
      <c r="C25" s="24" t="s">
        <v>115</v>
      </c>
      <c r="D25" s="25"/>
      <c r="E25" s="26"/>
      <c r="F25" s="27" t="s">
        <v>47</v>
      </c>
      <c r="G25" s="28">
        <v>45839.0</v>
      </c>
      <c r="H25" s="29">
        <v>468506.74</v>
      </c>
      <c r="I25" s="30"/>
      <c r="J25" s="31" t="s">
        <v>97</v>
      </c>
      <c r="K25" s="32" t="s">
        <v>40</v>
      </c>
    </row>
    <row r="26" ht="22.5" customHeight="1">
      <c r="A26" s="16" t="s">
        <v>116</v>
      </c>
      <c r="B26" s="33" t="s">
        <v>117</v>
      </c>
      <c r="C26" s="33" t="s">
        <v>118</v>
      </c>
      <c r="D26" s="34"/>
      <c r="E26" s="35"/>
      <c r="F26" s="36" t="s">
        <v>67</v>
      </c>
      <c r="G26" s="37">
        <v>45545.0</v>
      </c>
      <c r="H26" s="38">
        <v>2900000.0</v>
      </c>
      <c r="I26" s="39"/>
      <c r="J26" s="40" t="s">
        <v>56</v>
      </c>
      <c r="K26" s="41" t="s">
        <v>40</v>
      </c>
    </row>
    <row r="27" ht="22.5" customHeight="1">
      <c r="A27" s="16" t="s">
        <v>119</v>
      </c>
      <c r="B27" s="24"/>
      <c r="C27" s="24" t="s">
        <v>120</v>
      </c>
      <c r="D27" s="25"/>
      <c r="E27" s="26"/>
      <c r="F27" s="27"/>
      <c r="G27" s="45"/>
      <c r="H27" s="29">
        <v>405570.34</v>
      </c>
      <c r="I27" s="30"/>
      <c r="J27" s="46"/>
      <c r="K27" s="32" t="s">
        <v>40</v>
      </c>
    </row>
    <row r="28" ht="22.5" customHeight="1">
      <c r="A28" s="16" t="s">
        <v>121</v>
      </c>
      <c r="B28" s="33" t="s">
        <v>122</v>
      </c>
      <c r="C28" s="33" t="s">
        <v>123</v>
      </c>
      <c r="D28" s="34"/>
      <c r="E28" s="35"/>
      <c r="F28" s="36" t="s">
        <v>55</v>
      </c>
      <c r="G28" s="37">
        <v>45876.0</v>
      </c>
      <c r="H28" s="38">
        <v>319391.0</v>
      </c>
      <c r="I28" s="39"/>
      <c r="J28" s="40" t="s">
        <v>39</v>
      </c>
      <c r="K28" s="41" t="s">
        <v>40</v>
      </c>
    </row>
    <row r="29" ht="22.5" customHeight="1">
      <c r="A29" s="16" t="s">
        <v>124</v>
      </c>
      <c r="B29" s="24" t="s">
        <v>125</v>
      </c>
      <c r="C29" s="24" t="s">
        <v>126</v>
      </c>
      <c r="D29" s="25"/>
      <c r="E29" s="26"/>
      <c r="F29" s="27" t="s">
        <v>127</v>
      </c>
      <c r="G29" s="28">
        <v>45597.0</v>
      </c>
      <c r="H29" s="29">
        <v>900600.0</v>
      </c>
      <c r="I29" s="30"/>
      <c r="J29" s="31" t="s">
        <v>39</v>
      </c>
      <c r="K29" s="32" t="s">
        <v>40</v>
      </c>
    </row>
    <row r="30" ht="22.5" customHeight="1">
      <c r="A30" s="16" t="s">
        <v>128</v>
      </c>
      <c r="B30" s="33" t="s">
        <v>129</v>
      </c>
      <c r="C30" s="33" t="s">
        <v>130</v>
      </c>
      <c r="D30" s="34"/>
      <c r="E30" s="35"/>
      <c r="F30" s="36" t="s">
        <v>47</v>
      </c>
      <c r="G30" s="37">
        <v>45842.0</v>
      </c>
      <c r="H30" s="38">
        <v>711473.08</v>
      </c>
      <c r="I30" s="39"/>
      <c r="J30" s="40" t="s">
        <v>39</v>
      </c>
      <c r="K30" s="41" t="s">
        <v>40</v>
      </c>
    </row>
    <row r="31" ht="22.5" customHeight="1">
      <c r="A31" s="16" t="s">
        <v>131</v>
      </c>
      <c r="B31" s="24" t="s">
        <v>132</v>
      </c>
      <c r="C31" s="24" t="s">
        <v>133</v>
      </c>
      <c r="D31" s="25"/>
      <c r="E31" s="26"/>
      <c r="F31" s="27" t="s">
        <v>47</v>
      </c>
      <c r="G31" s="28">
        <v>45859.0</v>
      </c>
      <c r="H31" s="29">
        <v>463308.79</v>
      </c>
      <c r="I31" s="30"/>
      <c r="J31" s="31" t="s">
        <v>48</v>
      </c>
      <c r="K31" s="32" t="s">
        <v>40</v>
      </c>
    </row>
    <row r="32" ht="22.5" customHeight="1">
      <c r="A32" s="16" t="s">
        <v>134</v>
      </c>
      <c r="B32" s="33" t="s">
        <v>135</v>
      </c>
      <c r="C32" s="33" t="s">
        <v>136</v>
      </c>
      <c r="D32" s="34"/>
      <c r="E32" s="35"/>
      <c r="F32" s="36" t="s">
        <v>47</v>
      </c>
      <c r="G32" s="37">
        <v>45908.0</v>
      </c>
      <c r="H32" s="38">
        <v>1406233.35</v>
      </c>
      <c r="I32" s="39"/>
      <c r="J32" s="40" t="s">
        <v>48</v>
      </c>
      <c r="K32" s="41" t="s">
        <v>40</v>
      </c>
    </row>
    <row r="33" ht="22.5" customHeight="1">
      <c r="A33" s="16" t="s">
        <v>137</v>
      </c>
      <c r="B33" s="24" t="s">
        <v>138</v>
      </c>
      <c r="C33" s="24" t="s">
        <v>139</v>
      </c>
      <c r="D33" s="25"/>
      <c r="E33" s="26"/>
      <c r="F33" s="27" t="s">
        <v>140</v>
      </c>
      <c r="G33" s="28">
        <v>46034.0</v>
      </c>
      <c r="H33" s="29">
        <v>450695.99</v>
      </c>
      <c r="I33" s="30"/>
      <c r="J33" s="31" t="s">
        <v>48</v>
      </c>
      <c r="K33" s="32" t="s">
        <v>40</v>
      </c>
    </row>
    <row r="34" ht="22.5" customHeight="1">
      <c r="A34" s="16" t="s">
        <v>141</v>
      </c>
      <c r="B34" s="33" t="s">
        <v>142</v>
      </c>
      <c r="C34" s="33" t="s">
        <v>143</v>
      </c>
      <c r="D34" s="34"/>
      <c r="E34" s="35"/>
      <c r="F34" s="36" t="s">
        <v>63</v>
      </c>
      <c r="G34" s="37">
        <v>45719.0</v>
      </c>
      <c r="H34" s="38">
        <v>395215.0</v>
      </c>
      <c r="I34" s="39"/>
      <c r="J34" s="40" t="s">
        <v>48</v>
      </c>
      <c r="K34" s="41" t="s">
        <v>40</v>
      </c>
    </row>
    <row r="35" ht="22.5" customHeight="1">
      <c r="A35" s="16" t="s">
        <v>144</v>
      </c>
      <c r="B35" s="24" t="s">
        <v>145</v>
      </c>
      <c r="C35" s="24" t="s">
        <v>146</v>
      </c>
      <c r="D35" s="25"/>
      <c r="E35" s="26"/>
      <c r="F35" s="27" t="s">
        <v>63</v>
      </c>
      <c r="G35" s="28">
        <v>45202.0</v>
      </c>
      <c r="H35" s="29">
        <v>379615.16</v>
      </c>
      <c r="I35" s="30"/>
      <c r="J35" s="31" t="s">
        <v>56</v>
      </c>
      <c r="K35" s="32" t="s">
        <v>40</v>
      </c>
    </row>
    <row r="36" ht="22.5" customHeight="1">
      <c r="A36" s="16" t="s">
        <v>147</v>
      </c>
      <c r="B36" s="33" t="s">
        <v>148</v>
      </c>
      <c r="C36" s="33" t="s">
        <v>149</v>
      </c>
      <c r="D36" s="34"/>
      <c r="E36" s="35"/>
      <c r="F36" s="36" t="s">
        <v>67</v>
      </c>
      <c r="G36" s="37">
        <v>45999.0</v>
      </c>
      <c r="H36" s="38">
        <v>318739.23</v>
      </c>
      <c r="I36" s="39"/>
      <c r="J36" s="40" t="s">
        <v>39</v>
      </c>
      <c r="K36" s="41" t="s">
        <v>40</v>
      </c>
    </row>
    <row r="37" ht="22.5" customHeight="1">
      <c r="A37" s="16" t="s">
        <v>150</v>
      </c>
      <c r="B37" s="24" t="s">
        <v>151</v>
      </c>
      <c r="C37" s="24" t="s">
        <v>152</v>
      </c>
      <c r="D37" s="25"/>
      <c r="E37" s="26"/>
      <c r="F37" s="27" t="s">
        <v>47</v>
      </c>
      <c r="G37" s="28">
        <v>45944.0</v>
      </c>
      <c r="H37" s="29">
        <v>75993.23</v>
      </c>
      <c r="I37" s="30"/>
      <c r="J37" s="31" t="s">
        <v>48</v>
      </c>
      <c r="K37" s="32" t="s">
        <v>40</v>
      </c>
    </row>
    <row r="38" ht="22.5" customHeight="1">
      <c r="A38" s="16" t="s">
        <v>153</v>
      </c>
      <c r="B38" s="33" t="s">
        <v>154</v>
      </c>
      <c r="C38" s="33" t="s">
        <v>155</v>
      </c>
      <c r="D38" s="34"/>
      <c r="E38" s="35"/>
      <c r="F38" s="36" t="s">
        <v>63</v>
      </c>
      <c r="G38" s="37">
        <v>45806.0</v>
      </c>
      <c r="H38" s="38">
        <v>444584.41</v>
      </c>
      <c r="I38" s="39"/>
      <c r="J38" s="40" t="s">
        <v>48</v>
      </c>
      <c r="K38" s="41" t="s">
        <v>40</v>
      </c>
    </row>
    <row r="39" ht="22.5" customHeight="1">
      <c r="A39" s="16" t="s">
        <v>156</v>
      </c>
      <c r="B39" s="24" t="s">
        <v>157</v>
      </c>
      <c r="C39" s="24" t="s">
        <v>158</v>
      </c>
      <c r="D39" s="25"/>
      <c r="E39" s="26"/>
      <c r="F39" s="27" t="s">
        <v>67</v>
      </c>
      <c r="G39" s="28">
        <v>46036.0</v>
      </c>
      <c r="H39" s="29">
        <v>477346.39</v>
      </c>
      <c r="I39" s="30"/>
      <c r="J39" s="31" t="s">
        <v>159</v>
      </c>
      <c r="K39" s="32" t="s">
        <v>40</v>
      </c>
    </row>
    <row r="40" ht="22.5" customHeight="1">
      <c r="A40" s="16" t="s">
        <v>160</v>
      </c>
      <c r="B40" s="33" t="s">
        <v>161</v>
      </c>
      <c r="C40" s="33" t="s">
        <v>162</v>
      </c>
      <c r="D40" s="34"/>
      <c r="E40" s="35"/>
      <c r="F40" s="36" t="s">
        <v>63</v>
      </c>
      <c r="G40" s="37">
        <v>45954.0</v>
      </c>
      <c r="H40" s="38">
        <v>3090240.0</v>
      </c>
      <c r="I40" s="39"/>
      <c r="J40" s="44"/>
      <c r="K40" s="41" t="s">
        <v>40</v>
      </c>
    </row>
    <row r="41" ht="22.5" customHeight="1">
      <c r="A41" s="16" t="s">
        <v>163</v>
      </c>
      <c r="B41" s="24"/>
      <c r="C41" s="24" t="s">
        <v>164</v>
      </c>
      <c r="D41" s="25"/>
      <c r="E41" s="26"/>
      <c r="F41" s="27"/>
      <c r="G41" s="45"/>
      <c r="H41" s="47"/>
      <c r="I41" s="30"/>
      <c r="J41" s="46"/>
      <c r="K41" s="32" t="s">
        <v>40</v>
      </c>
    </row>
    <row r="42" ht="22.5" customHeight="1">
      <c r="A42" s="16" t="s">
        <v>165</v>
      </c>
      <c r="B42" s="33"/>
      <c r="C42" s="33" t="s">
        <v>166</v>
      </c>
      <c r="D42" s="34"/>
      <c r="E42" s="35"/>
      <c r="F42" s="36"/>
      <c r="G42" s="42"/>
      <c r="H42" s="43"/>
      <c r="I42" s="39"/>
      <c r="J42" s="44"/>
      <c r="K42" s="41" t="s">
        <v>40</v>
      </c>
    </row>
    <row r="43" ht="22.5" customHeight="1">
      <c r="A43" s="16" t="s">
        <v>167</v>
      </c>
      <c r="B43" s="24"/>
      <c r="C43" s="24" t="s">
        <v>168</v>
      </c>
      <c r="D43" s="25"/>
      <c r="E43" s="26"/>
      <c r="F43" s="27"/>
      <c r="G43" s="45"/>
      <c r="H43" s="47"/>
      <c r="I43" s="30"/>
      <c r="J43" s="46"/>
      <c r="K43" s="32" t="s">
        <v>40</v>
      </c>
    </row>
    <row r="44" ht="22.5" customHeight="1">
      <c r="A44" s="16" t="s">
        <v>169</v>
      </c>
      <c r="B44" s="33"/>
      <c r="C44" s="33" t="s">
        <v>170</v>
      </c>
      <c r="D44" s="34"/>
      <c r="E44" s="35"/>
      <c r="F44" s="36"/>
      <c r="G44" s="42"/>
      <c r="H44" s="43"/>
      <c r="I44" s="39"/>
      <c r="J44" s="44"/>
      <c r="K44" s="41" t="s">
        <v>40</v>
      </c>
    </row>
    <row r="45" ht="22.5" customHeight="1">
      <c r="A45" s="16" t="s">
        <v>171</v>
      </c>
      <c r="B45" s="24"/>
      <c r="C45" s="24" t="s">
        <v>172</v>
      </c>
      <c r="D45" s="25"/>
      <c r="E45" s="26"/>
      <c r="F45" s="27"/>
      <c r="G45" s="45"/>
      <c r="H45" s="47"/>
      <c r="I45" s="30"/>
      <c r="J45" s="46"/>
      <c r="K45" s="32" t="s">
        <v>40</v>
      </c>
    </row>
    <row r="46" ht="22.5" customHeight="1">
      <c r="A46" s="16" t="s">
        <v>173</v>
      </c>
      <c r="B46" s="33"/>
      <c r="C46" s="33" t="s">
        <v>174</v>
      </c>
      <c r="D46" s="34"/>
      <c r="E46" s="35"/>
      <c r="F46" s="36"/>
      <c r="G46" s="42"/>
      <c r="H46" s="43"/>
      <c r="I46" s="39"/>
      <c r="J46" s="44"/>
      <c r="K46" s="41" t="s">
        <v>40</v>
      </c>
    </row>
    <row r="47" ht="22.5" customHeight="1">
      <c r="A47" s="16" t="s">
        <v>175</v>
      </c>
      <c r="B47" s="24"/>
      <c r="C47" s="24" t="s">
        <v>176</v>
      </c>
      <c r="D47" s="25"/>
      <c r="E47" s="26"/>
      <c r="F47" s="27"/>
      <c r="G47" s="45"/>
      <c r="H47" s="47"/>
      <c r="I47" s="30"/>
      <c r="J47" s="46"/>
      <c r="K47" s="32" t="s">
        <v>40</v>
      </c>
    </row>
    <row r="48" ht="22.5" customHeight="1">
      <c r="A48" s="16" t="s">
        <v>177</v>
      </c>
      <c r="B48" s="33"/>
      <c r="C48" s="33" t="s">
        <v>178</v>
      </c>
      <c r="D48" s="34"/>
      <c r="E48" s="35"/>
      <c r="F48" s="36"/>
      <c r="G48" s="42"/>
      <c r="H48" s="43"/>
      <c r="I48" s="39"/>
      <c r="J48" s="44"/>
      <c r="K48" s="41" t="s">
        <v>40</v>
      </c>
    </row>
    <row r="49" ht="22.5" customHeight="1">
      <c r="A49" s="16" t="s">
        <v>179</v>
      </c>
      <c r="B49" s="24"/>
      <c r="C49" s="24" t="s">
        <v>180</v>
      </c>
      <c r="D49" s="25"/>
      <c r="E49" s="26"/>
      <c r="F49" s="27"/>
      <c r="G49" s="45"/>
      <c r="H49" s="47"/>
      <c r="I49" s="30"/>
      <c r="J49" s="46"/>
      <c r="K49" s="32" t="s">
        <v>40</v>
      </c>
    </row>
    <row r="50" ht="22.5" customHeight="1">
      <c r="A50" s="16" t="s">
        <v>181</v>
      </c>
      <c r="B50" s="33"/>
      <c r="C50" s="33" t="s">
        <v>182</v>
      </c>
      <c r="D50" s="34"/>
      <c r="E50" s="35"/>
      <c r="F50" s="36"/>
      <c r="G50" s="42"/>
      <c r="H50" s="43"/>
      <c r="I50" s="39"/>
      <c r="J50" s="44"/>
      <c r="K50" s="41" t="s">
        <v>40</v>
      </c>
    </row>
    <row r="51" ht="22.5" customHeight="1">
      <c r="A51" s="16" t="s">
        <v>183</v>
      </c>
      <c r="B51" s="24"/>
      <c r="C51" s="24" t="s">
        <v>184</v>
      </c>
      <c r="D51" s="25"/>
      <c r="E51" s="26"/>
      <c r="F51" s="27"/>
      <c r="G51" s="45"/>
      <c r="H51" s="47"/>
      <c r="I51" s="30"/>
      <c r="J51" s="46"/>
      <c r="K51" s="32" t="s">
        <v>40</v>
      </c>
    </row>
    <row r="52" ht="22.5" customHeight="1">
      <c r="A52" s="16" t="s">
        <v>185</v>
      </c>
      <c r="B52" s="33"/>
      <c r="C52" s="33" t="s">
        <v>186</v>
      </c>
      <c r="D52" s="34"/>
      <c r="E52" s="35"/>
      <c r="F52" s="36"/>
      <c r="G52" s="42"/>
      <c r="H52" s="43"/>
      <c r="I52" s="39"/>
      <c r="J52" s="44"/>
      <c r="K52" s="41" t="s">
        <v>40</v>
      </c>
    </row>
    <row r="53" ht="22.5" customHeight="1">
      <c r="A53" s="16" t="s">
        <v>187</v>
      </c>
      <c r="B53" s="24"/>
      <c r="C53" s="24" t="s">
        <v>188</v>
      </c>
      <c r="D53" s="25"/>
      <c r="E53" s="26"/>
      <c r="F53" s="27"/>
      <c r="G53" s="45"/>
      <c r="H53" s="47"/>
      <c r="I53" s="30"/>
      <c r="J53" s="46"/>
      <c r="K53" s="32" t="s">
        <v>40</v>
      </c>
    </row>
    <row r="54" ht="22.5" customHeight="1">
      <c r="A54" s="16" t="s">
        <v>189</v>
      </c>
      <c r="B54" s="33"/>
      <c r="C54" s="33" t="s">
        <v>190</v>
      </c>
      <c r="D54" s="34"/>
      <c r="E54" s="35"/>
      <c r="F54" s="36"/>
      <c r="G54" s="42"/>
      <c r="H54" s="43"/>
      <c r="I54" s="39"/>
      <c r="J54" s="44"/>
      <c r="K54" s="41" t="s">
        <v>40</v>
      </c>
    </row>
    <row r="55" ht="22.5" customHeight="1">
      <c r="A55" s="16" t="s">
        <v>191</v>
      </c>
      <c r="B55" s="24"/>
      <c r="C55" s="24" t="s">
        <v>192</v>
      </c>
      <c r="D55" s="25"/>
      <c r="E55" s="26"/>
      <c r="F55" s="27"/>
      <c r="G55" s="45"/>
      <c r="H55" s="47"/>
      <c r="I55" s="30"/>
      <c r="J55" s="46"/>
      <c r="K55" s="32" t="s">
        <v>40</v>
      </c>
    </row>
    <row r="56" ht="22.5" customHeight="1">
      <c r="A56" s="16" t="s">
        <v>193</v>
      </c>
      <c r="B56" s="33" t="s">
        <v>194</v>
      </c>
      <c r="C56" s="33" t="s">
        <v>195</v>
      </c>
      <c r="D56" s="34"/>
      <c r="E56" s="35"/>
      <c r="F56" s="36"/>
      <c r="G56" s="42"/>
      <c r="H56" s="43"/>
      <c r="I56" s="39"/>
      <c r="J56" s="44"/>
      <c r="K56" s="41" t="s">
        <v>40</v>
      </c>
    </row>
    <row r="57" ht="22.5" customHeight="1">
      <c r="A57" s="16" t="s">
        <v>196</v>
      </c>
      <c r="B57" s="24" t="s">
        <v>197</v>
      </c>
      <c r="C57" s="24" t="s">
        <v>198</v>
      </c>
      <c r="D57" s="25"/>
      <c r="E57" s="26"/>
      <c r="F57" s="27"/>
      <c r="G57" s="45"/>
      <c r="H57" s="47"/>
      <c r="I57" s="30"/>
      <c r="J57" s="46"/>
      <c r="K57" s="32" t="s">
        <v>40</v>
      </c>
    </row>
    <row r="58" ht="22.5" customHeight="1">
      <c r="A58" s="16" t="s">
        <v>199</v>
      </c>
      <c r="B58" s="33" t="s">
        <v>200</v>
      </c>
      <c r="C58" s="33" t="s">
        <v>201</v>
      </c>
      <c r="D58" s="34"/>
      <c r="E58" s="35"/>
      <c r="F58" s="36"/>
      <c r="G58" s="42"/>
      <c r="H58" s="43"/>
      <c r="I58" s="39"/>
      <c r="J58" s="44"/>
      <c r="K58" s="41" t="s">
        <v>40</v>
      </c>
    </row>
    <row r="59" ht="22.5" customHeight="1">
      <c r="A59" s="16" t="s">
        <v>202</v>
      </c>
      <c r="B59" s="24" t="s">
        <v>203</v>
      </c>
      <c r="C59" s="24" t="s">
        <v>204</v>
      </c>
      <c r="D59" s="25"/>
      <c r="E59" s="26"/>
      <c r="F59" s="27"/>
      <c r="G59" s="45"/>
      <c r="H59" s="47"/>
      <c r="I59" s="30"/>
      <c r="J59" s="46"/>
      <c r="K59" s="32" t="s">
        <v>40</v>
      </c>
    </row>
    <row r="60" ht="22.5" customHeight="1">
      <c r="A60" s="16" t="s">
        <v>205</v>
      </c>
      <c r="B60" s="33" t="s">
        <v>206</v>
      </c>
      <c r="C60" s="33" t="s">
        <v>207</v>
      </c>
      <c r="D60" s="34"/>
      <c r="E60" s="35"/>
      <c r="F60" s="36"/>
      <c r="G60" s="42"/>
      <c r="H60" s="43"/>
      <c r="I60" s="39"/>
      <c r="J60" s="44"/>
      <c r="K60" s="41" t="s">
        <v>40</v>
      </c>
    </row>
    <row r="61" ht="22.5" customHeight="1">
      <c r="A61" s="16" t="s">
        <v>208</v>
      </c>
      <c r="B61" s="24" t="s">
        <v>209</v>
      </c>
      <c r="C61" s="24" t="s">
        <v>210</v>
      </c>
      <c r="D61" s="25"/>
      <c r="E61" s="26"/>
      <c r="F61" s="27"/>
      <c r="G61" s="45"/>
      <c r="H61" s="47"/>
      <c r="I61" s="30"/>
      <c r="J61" s="46"/>
      <c r="K61" s="32" t="s">
        <v>40</v>
      </c>
    </row>
    <row r="62" ht="22.5" customHeight="1">
      <c r="A62" s="16" t="s">
        <v>211</v>
      </c>
      <c r="B62" s="33" t="s">
        <v>212</v>
      </c>
      <c r="C62" s="33" t="s">
        <v>213</v>
      </c>
      <c r="D62" s="34"/>
      <c r="E62" s="35"/>
      <c r="F62" s="36"/>
      <c r="G62" s="42"/>
      <c r="H62" s="43"/>
      <c r="I62" s="39"/>
      <c r="J62" s="44"/>
      <c r="K62" s="41" t="s">
        <v>40</v>
      </c>
    </row>
    <row r="63" ht="22.5" customHeight="1">
      <c r="A63" s="16" t="s">
        <v>214</v>
      </c>
      <c r="B63" s="24" t="s">
        <v>215</v>
      </c>
      <c r="C63" s="24" t="s">
        <v>216</v>
      </c>
      <c r="D63" s="25"/>
      <c r="E63" s="26"/>
      <c r="F63" s="27"/>
      <c r="G63" s="45"/>
      <c r="H63" s="47"/>
      <c r="I63" s="30"/>
      <c r="J63" s="46"/>
      <c r="K63" s="32" t="s">
        <v>40</v>
      </c>
    </row>
    <row r="64" ht="22.5" customHeight="1">
      <c r="A64" s="16" t="s">
        <v>217</v>
      </c>
      <c r="B64" s="33" t="s">
        <v>218</v>
      </c>
      <c r="C64" s="33" t="s">
        <v>219</v>
      </c>
      <c r="D64" s="34"/>
      <c r="E64" s="35"/>
      <c r="F64" s="36"/>
      <c r="G64" s="42"/>
      <c r="H64" s="43"/>
      <c r="I64" s="39"/>
      <c r="J64" s="44"/>
      <c r="K64" s="41" t="s">
        <v>40</v>
      </c>
    </row>
    <row r="65" ht="22.5" customHeight="1">
      <c r="A65" s="16" t="s">
        <v>220</v>
      </c>
      <c r="B65" s="24" t="s">
        <v>221</v>
      </c>
      <c r="C65" s="24" t="s">
        <v>222</v>
      </c>
      <c r="D65" s="25"/>
      <c r="E65" s="26"/>
      <c r="F65" s="27"/>
      <c r="G65" s="45"/>
      <c r="H65" s="47"/>
      <c r="I65" s="30"/>
      <c r="J65" s="46"/>
      <c r="K65" s="32" t="s">
        <v>40</v>
      </c>
    </row>
    <row r="66" ht="22.5" customHeight="1">
      <c r="A66" s="16" t="s">
        <v>223</v>
      </c>
      <c r="B66" s="24" t="s">
        <v>224</v>
      </c>
      <c r="C66" s="24" t="s">
        <v>225</v>
      </c>
      <c r="D66" s="25"/>
      <c r="E66" s="26"/>
      <c r="F66" s="27"/>
      <c r="G66" s="45"/>
      <c r="H66" s="47"/>
      <c r="I66" s="30"/>
      <c r="J66" s="46"/>
      <c r="K66" s="32" t="s">
        <v>40</v>
      </c>
    </row>
    <row r="67" ht="22.5" customHeight="1">
      <c r="A67" s="16" t="s">
        <v>226</v>
      </c>
      <c r="B67" s="33" t="s">
        <v>227</v>
      </c>
      <c r="C67" s="33" t="s">
        <v>228</v>
      </c>
      <c r="D67" s="34"/>
      <c r="E67" s="35"/>
      <c r="F67" s="36"/>
      <c r="G67" s="42"/>
      <c r="H67" s="43"/>
      <c r="I67" s="39"/>
      <c r="J67" s="44"/>
      <c r="K67" s="41" t="s">
        <v>40</v>
      </c>
    </row>
    <row r="68" ht="22.5" customHeight="1">
      <c r="A68" s="16" t="s">
        <v>229</v>
      </c>
      <c r="B68" s="24" t="s">
        <v>230</v>
      </c>
      <c r="C68" s="24" t="s">
        <v>231</v>
      </c>
      <c r="D68" s="25"/>
      <c r="E68" s="26"/>
      <c r="F68" s="27"/>
      <c r="G68" s="45"/>
      <c r="H68" s="47"/>
      <c r="I68" s="30"/>
      <c r="J68" s="46"/>
      <c r="K68" s="32" t="s">
        <v>40</v>
      </c>
    </row>
    <row r="69" ht="22.5" customHeight="1">
      <c r="A69" s="16" t="s">
        <v>232</v>
      </c>
      <c r="B69" s="33" t="s">
        <v>233</v>
      </c>
      <c r="C69" s="33" t="s">
        <v>234</v>
      </c>
      <c r="D69" s="34"/>
      <c r="E69" s="35"/>
      <c r="F69" s="36"/>
      <c r="G69" s="42"/>
      <c r="H69" s="43"/>
      <c r="I69" s="39"/>
      <c r="J69" s="44"/>
      <c r="K69" s="41" t="s">
        <v>40</v>
      </c>
    </row>
    <row r="70" ht="22.5" customHeight="1">
      <c r="A70" s="16" t="s">
        <v>235</v>
      </c>
      <c r="B70" s="24" t="s">
        <v>236</v>
      </c>
      <c r="C70" s="24" t="s">
        <v>237</v>
      </c>
      <c r="D70" s="25"/>
      <c r="E70" s="26"/>
      <c r="F70" s="27"/>
      <c r="G70" s="45"/>
      <c r="H70" s="47"/>
      <c r="I70" s="30"/>
      <c r="J70" s="46"/>
      <c r="K70" s="32" t="s">
        <v>40</v>
      </c>
    </row>
    <row r="71" ht="22.5" customHeight="1">
      <c r="A71" s="16" t="s">
        <v>238</v>
      </c>
      <c r="B71" s="33"/>
      <c r="C71" s="33" t="s">
        <v>239</v>
      </c>
      <c r="D71" s="34"/>
      <c r="E71" s="35"/>
      <c r="F71" s="36"/>
      <c r="G71" s="42"/>
      <c r="H71" s="43"/>
      <c r="I71" s="39"/>
      <c r="J71" s="44"/>
      <c r="K71" s="41" t="s">
        <v>40</v>
      </c>
    </row>
    <row r="72" ht="22.5" customHeight="1">
      <c r="A72" s="16" t="s">
        <v>240</v>
      </c>
      <c r="B72" s="24" t="s">
        <v>241</v>
      </c>
      <c r="C72" s="24" t="s">
        <v>242</v>
      </c>
      <c r="D72" s="25"/>
      <c r="E72" s="26"/>
      <c r="F72" s="27"/>
      <c r="G72" s="45"/>
      <c r="H72" s="47"/>
      <c r="I72" s="30"/>
      <c r="J72" s="46"/>
      <c r="K72" s="32" t="s">
        <v>40</v>
      </c>
    </row>
    <row r="73" ht="22.5" customHeight="1">
      <c r="A73" s="16" t="s">
        <v>243</v>
      </c>
      <c r="B73" s="33" t="s">
        <v>244</v>
      </c>
      <c r="C73" s="33" t="s">
        <v>245</v>
      </c>
      <c r="D73" s="34"/>
      <c r="E73" s="35"/>
      <c r="F73" s="36"/>
      <c r="G73" s="42"/>
      <c r="H73" s="43"/>
      <c r="I73" s="39"/>
      <c r="J73" s="44"/>
      <c r="K73" s="41" t="s">
        <v>40</v>
      </c>
    </row>
    <row r="74" ht="22.5" customHeight="1">
      <c r="A74" s="16" t="s">
        <v>246</v>
      </c>
      <c r="B74" s="24" t="s">
        <v>247</v>
      </c>
      <c r="C74" s="24" t="s">
        <v>248</v>
      </c>
      <c r="D74" s="25"/>
      <c r="E74" s="26"/>
      <c r="F74" s="27"/>
      <c r="G74" s="45"/>
      <c r="H74" s="47"/>
      <c r="I74" s="30"/>
      <c r="J74" s="46"/>
      <c r="K74" s="32" t="s">
        <v>40</v>
      </c>
    </row>
    <row r="75" ht="22.5" customHeight="1">
      <c r="A75" s="16" t="s">
        <v>249</v>
      </c>
      <c r="B75" s="33" t="s">
        <v>250</v>
      </c>
      <c r="C75" s="33" t="s">
        <v>251</v>
      </c>
      <c r="D75" s="34"/>
      <c r="E75" s="35"/>
      <c r="F75" s="36"/>
      <c r="G75" s="42"/>
      <c r="H75" s="43"/>
      <c r="I75" s="39"/>
      <c r="J75" s="44"/>
      <c r="K75" s="41" t="s">
        <v>40</v>
      </c>
    </row>
    <row r="76" ht="22.5" customHeight="1">
      <c r="A76" s="16" t="s">
        <v>252</v>
      </c>
      <c r="B76" s="24" t="s">
        <v>253</v>
      </c>
      <c r="C76" s="24" t="s">
        <v>254</v>
      </c>
      <c r="D76" s="25"/>
      <c r="E76" s="26"/>
      <c r="F76" s="27"/>
      <c r="G76" s="45"/>
      <c r="H76" s="47"/>
      <c r="I76" s="30"/>
      <c r="J76" s="46"/>
      <c r="K76" s="32" t="s">
        <v>40</v>
      </c>
    </row>
    <row r="77" ht="22.5" customHeight="1">
      <c r="A77" s="16" t="s">
        <v>255</v>
      </c>
      <c r="B77" s="33" t="s">
        <v>256</v>
      </c>
      <c r="C77" s="33" t="s">
        <v>257</v>
      </c>
      <c r="D77" s="34"/>
      <c r="E77" s="35"/>
      <c r="F77" s="36"/>
      <c r="G77" s="42"/>
      <c r="H77" s="43"/>
      <c r="I77" s="39"/>
      <c r="J77" s="44"/>
      <c r="K77" s="41" t="s">
        <v>40</v>
      </c>
    </row>
    <row r="78" ht="22.5" customHeight="1">
      <c r="A78" s="16" t="s">
        <v>258</v>
      </c>
      <c r="B78" s="24" t="s">
        <v>259</v>
      </c>
      <c r="C78" s="24" t="s">
        <v>260</v>
      </c>
      <c r="D78" s="25"/>
      <c r="E78" s="26"/>
      <c r="F78" s="27"/>
      <c r="G78" s="45"/>
      <c r="H78" s="47"/>
      <c r="I78" s="30"/>
      <c r="J78" s="46"/>
      <c r="K78" s="32" t="s">
        <v>40</v>
      </c>
    </row>
    <row r="79" ht="22.5" customHeight="1">
      <c r="A79" s="16" t="s">
        <v>261</v>
      </c>
      <c r="B79" s="33" t="s">
        <v>262</v>
      </c>
      <c r="C79" s="33" t="s">
        <v>263</v>
      </c>
      <c r="D79" s="34"/>
      <c r="E79" s="35"/>
      <c r="F79" s="36"/>
      <c r="G79" s="42"/>
      <c r="H79" s="43"/>
      <c r="I79" s="39"/>
      <c r="J79" s="44"/>
      <c r="K79" s="41" t="s">
        <v>40</v>
      </c>
    </row>
    <row r="80" ht="22.5" customHeight="1">
      <c r="A80" s="16" t="s">
        <v>264</v>
      </c>
      <c r="B80" s="24" t="s">
        <v>265</v>
      </c>
      <c r="C80" s="24" t="s">
        <v>266</v>
      </c>
      <c r="D80" s="25"/>
      <c r="E80" s="26"/>
      <c r="F80" s="27"/>
      <c r="G80" s="45"/>
      <c r="H80" s="47"/>
      <c r="I80" s="30"/>
      <c r="J80" s="46"/>
      <c r="K80" s="32" t="s">
        <v>40</v>
      </c>
    </row>
    <row r="81" ht="22.5" customHeight="1">
      <c r="A81" s="16" t="s">
        <v>267</v>
      </c>
      <c r="B81" s="33" t="s">
        <v>268</v>
      </c>
      <c r="C81" s="33" t="s">
        <v>269</v>
      </c>
      <c r="D81" s="34"/>
      <c r="E81" s="35"/>
      <c r="F81" s="36"/>
      <c r="G81" s="42"/>
      <c r="H81" s="43"/>
      <c r="I81" s="39"/>
      <c r="J81" s="44"/>
      <c r="K81" s="41" t="s">
        <v>40</v>
      </c>
    </row>
    <row r="82" ht="22.5" customHeight="1">
      <c r="A82" s="16" t="s">
        <v>270</v>
      </c>
      <c r="B82" s="24" t="s">
        <v>271</v>
      </c>
      <c r="C82" s="24" t="s">
        <v>272</v>
      </c>
      <c r="D82" s="25"/>
      <c r="E82" s="26"/>
      <c r="F82" s="27"/>
      <c r="G82" s="45"/>
      <c r="H82" s="47"/>
      <c r="I82" s="30"/>
      <c r="J82" s="46"/>
      <c r="K82" s="32" t="s">
        <v>40</v>
      </c>
    </row>
    <row r="83" ht="22.5" customHeight="1">
      <c r="A83" s="16" t="s">
        <v>273</v>
      </c>
      <c r="B83" s="33" t="s">
        <v>274</v>
      </c>
      <c r="C83" s="33" t="s">
        <v>275</v>
      </c>
      <c r="D83" s="34"/>
      <c r="E83" s="35"/>
      <c r="F83" s="36"/>
      <c r="G83" s="42"/>
      <c r="H83" s="43"/>
      <c r="I83" s="39"/>
      <c r="J83" s="44"/>
      <c r="K83" s="41" t="s">
        <v>40</v>
      </c>
    </row>
    <row r="84" ht="22.5" customHeight="1">
      <c r="A84" s="16" t="s">
        <v>276</v>
      </c>
      <c r="B84" s="33" t="s">
        <v>277</v>
      </c>
      <c r="C84" s="33" t="s">
        <v>278</v>
      </c>
      <c r="D84" s="18"/>
      <c r="E84" s="19"/>
      <c r="F84" s="9"/>
      <c r="G84" s="48"/>
      <c r="H84" s="49"/>
      <c r="I84" s="21"/>
      <c r="J84" s="44"/>
      <c r="K84" s="41" t="s">
        <v>40</v>
      </c>
    </row>
    <row r="85" ht="22.5" customHeight="1">
      <c r="A85" s="16" t="s">
        <v>279</v>
      </c>
      <c r="B85" s="33" t="s">
        <v>280</v>
      </c>
      <c r="C85" s="33" t="s">
        <v>281</v>
      </c>
      <c r="D85" s="18"/>
      <c r="E85" s="19"/>
      <c r="F85" s="9"/>
      <c r="G85" s="48"/>
      <c r="H85" s="49"/>
      <c r="I85" s="21"/>
      <c r="J85" s="44"/>
      <c r="K85" s="41" t="s">
        <v>40</v>
      </c>
    </row>
    <row r="86" ht="22.5" customHeight="1">
      <c r="A86" s="16" t="s">
        <v>282</v>
      </c>
      <c r="B86" s="17" t="s">
        <v>283</v>
      </c>
      <c r="C86" s="17" t="s">
        <v>284</v>
      </c>
      <c r="D86" s="18"/>
      <c r="E86" s="19"/>
      <c r="F86" s="9"/>
      <c r="G86" s="48"/>
      <c r="H86" s="49"/>
      <c r="I86" s="21"/>
      <c r="J86" s="46"/>
      <c r="K86" s="41" t="s">
        <v>40</v>
      </c>
    </row>
    <row r="87" ht="22.5" customHeight="1">
      <c r="A87" s="16" t="s">
        <v>285</v>
      </c>
      <c r="B87" s="17" t="s">
        <v>286</v>
      </c>
      <c r="C87" s="17" t="s">
        <v>287</v>
      </c>
      <c r="D87" s="18"/>
      <c r="E87" s="19"/>
      <c r="F87" s="9"/>
      <c r="G87" s="48"/>
      <c r="H87" s="49"/>
      <c r="I87" s="21"/>
      <c r="J87" s="44"/>
      <c r="K87" s="41" t="s">
        <v>40</v>
      </c>
    </row>
    <row r="88" ht="22.5" customHeight="1">
      <c r="A88" s="16" t="s">
        <v>288</v>
      </c>
      <c r="B88" s="17" t="s">
        <v>289</v>
      </c>
      <c r="C88" s="17" t="s">
        <v>290</v>
      </c>
      <c r="D88" s="18"/>
      <c r="E88" s="19"/>
      <c r="F88" s="9"/>
      <c r="G88" s="48"/>
      <c r="H88" s="49"/>
      <c r="I88" s="21"/>
      <c r="J88" s="50"/>
      <c r="K88" s="41" t="s">
        <v>40</v>
      </c>
    </row>
    <row r="89" ht="22.5" customHeight="1">
      <c r="A89" s="16" t="s">
        <v>291</v>
      </c>
      <c r="B89" s="17" t="s">
        <v>292</v>
      </c>
      <c r="C89" s="17" t="s">
        <v>293</v>
      </c>
      <c r="D89" s="18"/>
      <c r="E89" s="19"/>
      <c r="F89" s="9"/>
      <c r="G89" s="48"/>
      <c r="H89" s="49"/>
      <c r="I89" s="21"/>
      <c r="J89" s="50"/>
      <c r="K89" s="41" t="s">
        <v>40</v>
      </c>
    </row>
    <row r="90" ht="22.5" customHeight="1">
      <c r="A90" s="16" t="s">
        <v>294</v>
      </c>
      <c r="B90" s="17" t="s">
        <v>295</v>
      </c>
      <c r="C90" s="17" t="s">
        <v>296</v>
      </c>
      <c r="D90" s="18"/>
      <c r="E90" s="19"/>
      <c r="F90" s="9"/>
      <c r="G90" s="48"/>
      <c r="H90" s="49"/>
      <c r="I90" s="21"/>
      <c r="J90" s="50"/>
      <c r="K90" s="41" t="s">
        <v>40</v>
      </c>
    </row>
    <row r="91" ht="22.5" customHeight="1">
      <c r="A91" s="16" t="s">
        <v>297</v>
      </c>
      <c r="B91" s="17" t="s">
        <v>298</v>
      </c>
      <c r="C91" s="17" t="s">
        <v>299</v>
      </c>
      <c r="D91" s="18"/>
      <c r="E91" s="19"/>
      <c r="F91" s="9"/>
      <c r="G91" s="48"/>
      <c r="H91" s="49"/>
      <c r="I91" s="21"/>
      <c r="J91" s="50"/>
      <c r="K91" s="41" t="s">
        <v>40</v>
      </c>
    </row>
    <row r="92" ht="22.5" customHeight="1">
      <c r="A92" s="16" t="s">
        <v>300</v>
      </c>
      <c r="B92" s="17" t="s">
        <v>301</v>
      </c>
      <c r="C92" s="17" t="s">
        <v>302</v>
      </c>
      <c r="D92" s="18"/>
      <c r="E92" s="19"/>
      <c r="F92" s="9"/>
      <c r="G92" s="48"/>
      <c r="H92" s="49"/>
      <c r="I92" s="21"/>
      <c r="J92" s="50"/>
      <c r="K92" s="23" t="s">
        <v>40</v>
      </c>
    </row>
    <row r="93" ht="22.5" customHeight="1">
      <c r="A93" s="16" t="s">
        <v>303</v>
      </c>
      <c r="B93" s="17" t="s">
        <v>304</v>
      </c>
      <c r="C93" s="17" t="s">
        <v>305</v>
      </c>
      <c r="D93" s="18"/>
      <c r="E93" s="19"/>
      <c r="F93" s="9"/>
      <c r="G93" s="48"/>
      <c r="H93" s="49"/>
      <c r="I93" s="21"/>
      <c r="J93" s="50"/>
      <c r="K93" s="23" t="s">
        <v>40</v>
      </c>
    </row>
    <row r="94" ht="22.5" customHeight="1">
      <c r="A94" s="16" t="s">
        <v>306</v>
      </c>
      <c r="B94" s="17" t="s">
        <v>307</v>
      </c>
      <c r="C94" s="17" t="s">
        <v>308</v>
      </c>
      <c r="D94" s="18"/>
      <c r="E94" s="19"/>
      <c r="F94" s="9"/>
      <c r="G94" s="48"/>
      <c r="H94" s="49"/>
      <c r="I94" s="21"/>
      <c r="J94" s="50"/>
      <c r="K94" s="23" t="s">
        <v>40</v>
      </c>
    </row>
    <row r="95" ht="22.5" customHeight="1">
      <c r="A95" s="16" t="s">
        <v>309</v>
      </c>
      <c r="B95" s="17" t="s">
        <v>310</v>
      </c>
      <c r="C95" s="17" t="s">
        <v>311</v>
      </c>
      <c r="D95" s="18"/>
      <c r="E95" s="19"/>
      <c r="F95" s="9"/>
      <c r="G95" s="48"/>
      <c r="H95" s="49"/>
      <c r="I95" s="21"/>
      <c r="J95" s="50"/>
      <c r="K95" s="23" t="s">
        <v>40</v>
      </c>
    </row>
    <row r="96" ht="22.5" customHeight="1">
      <c r="A96" s="16" t="s">
        <v>312</v>
      </c>
      <c r="B96" s="17" t="s">
        <v>313</v>
      </c>
      <c r="C96" s="17" t="s">
        <v>130</v>
      </c>
      <c r="D96" s="18"/>
      <c r="E96" s="19"/>
      <c r="F96" s="9"/>
      <c r="G96" s="48"/>
      <c r="H96" s="49"/>
      <c r="I96" s="21"/>
      <c r="J96" s="50"/>
      <c r="K96" s="23" t="s">
        <v>40</v>
      </c>
    </row>
    <row r="97" ht="22.5" customHeight="1">
      <c r="A97" s="16" t="s">
        <v>314</v>
      </c>
      <c r="B97" s="17" t="s">
        <v>315</v>
      </c>
      <c r="C97" s="17" t="s">
        <v>316</v>
      </c>
      <c r="D97" s="18"/>
      <c r="E97" s="19"/>
      <c r="F97" s="9"/>
      <c r="G97" s="48"/>
      <c r="H97" s="49"/>
      <c r="I97" s="21"/>
      <c r="J97" s="50"/>
      <c r="K97" s="23" t="s">
        <v>40</v>
      </c>
    </row>
    <row r="98" ht="22.5" customHeight="1">
      <c r="A98" s="16" t="s">
        <v>317</v>
      </c>
      <c r="B98" s="17" t="s">
        <v>318</v>
      </c>
      <c r="C98" s="17" t="s">
        <v>319</v>
      </c>
      <c r="D98" s="18"/>
      <c r="E98" s="19"/>
      <c r="F98" s="9"/>
      <c r="G98" s="48"/>
      <c r="H98" s="49"/>
      <c r="I98" s="21"/>
      <c r="J98" s="50"/>
      <c r="K98" s="23" t="s">
        <v>40</v>
      </c>
    </row>
    <row r="99" ht="22.5" customHeight="1">
      <c r="A99" s="16" t="s">
        <v>320</v>
      </c>
      <c r="B99" s="17" t="s">
        <v>321</v>
      </c>
      <c r="C99" s="17" t="s">
        <v>322</v>
      </c>
      <c r="D99" s="18"/>
      <c r="E99" s="19"/>
      <c r="F99" s="9"/>
      <c r="G99" s="48"/>
      <c r="H99" s="49"/>
      <c r="I99" s="21"/>
      <c r="J99" s="50"/>
      <c r="K99" s="23" t="s">
        <v>40</v>
      </c>
    </row>
    <row r="100" ht="22.5" customHeight="1">
      <c r="A100" s="16" t="s">
        <v>323</v>
      </c>
      <c r="B100" s="17" t="s">
        <v>324</v>
      </c>
      <c r="C100" s="17" t="s">
        <v>325</v>
      </c>
      <c r="D100" s="18"/>
      <c r="E100" s="19"/>
      <c r="F100" s="9"/>
      <c r="G100" s="48"/>
      <c r="H100" s="49"/>
      <c r="I100" s="21"/>
      <c r="J100" s="50"/>
      <c r="K100" s="23" t="s">
        <v>40</v>
      </c>
    </row>
    <row r="101" ht="22.5" customHeight="1">
      <c r="A101" s="16" t="s">
        <v>326</v>
      </c>
      <c r="B101" s="17" t="s">
        <v>327</v>
      </c>
      <c r="C101" s="17"/>
      <c r="D101" s="18"/>
      <c r="E101" s="19"/>
      <c r="F101" s="9"/>
      <c r="G101" s="48"/>
      <c r="H101" s="49"/>
      <c r="I101" s="21"/>
      <c r="J101" s="50"/>
      <c r="K101" s="23" t="s">
        <v>40</v>
      </c>
    </row>
    <row r="102" ht="22.5" customHeight="1">
      <c r="A102" s="16" t="s">
        <v>328</v>
      </c>
      <c r="B102" s="17" t="s">
        <v>329</v>
      </c>
      <c r="C102" s="17" t="s">
        <v>210</v>
      </c>
      <c r="D102" s="18"/>
      <c r="E102" s="19"/>
      <c r="F102" s="9"/>
      <c r="G102" s="48"/>
      <c r="H102" s="49"/>
      <c r="I102" s="21"/>
      <c r="J102" s="50"/>
      <c r="K102" s="23" t="s">
        <v>40</v>
      </c>
    </row>
    <row r="103" ht="22.5" customHeight="1">
      <c r="A103" s="16" t="s">
        <v>330</v>
      </c>
      <c r="B103" s="17" t="s">
        <v>331</v>
      </c>
      <c r="C103" s="17" t="s">
        <v>332</v>
      </c>
      <c r="D103" s="18"/>
      <c r="E103" s="19"/>
      <c r="F103" s="9"/>
      <c r="G103" s="48"/>
      <c r="H103" s="49"/>
      <c r="I103" s="21"/>
      <c r="J103" s="50"/>
      <c r="K103" s="23" t="s">
        <v>40</v>
      </c>
    </row>
    <row r="104" ht="22.5" customHeight="1">
      <c r="A104" s="16" t="s">
        <v>333</v>
      </c>
      <c r="B104" s="17" t="s">
        <v>334</v>
      </c>
      <c r="C104" s="17" t="s">
        <v>335</v>
      </c>
      <c r="D104" s="18"/>
      <c r="E104" s="19"/>
      <c r="F104" s="9"/>
      <c r="G104" s="48"/>
      <c r="H104" s="49"/>
      <c r="I104" s="21"/>
      <c r="J104" s="50"/>
      <c r="K104" s="23" t="s">
        <v>40</v>
      </c>
    </row>
    <row r="105" ht="22.5" customHeight="1">
      <c r="A105" s="16" t="s">
        <v>336</v>
      </c>
      <c r="B105" s="17" t="s">
        <v>337</v>
      </c>
      <c r="C105" s="17" t="s">
        <v>338</v>
      </c>
      <c r="D105" s="18"/>
      <c r="E105" s="19"/>
      <c r="F105" s="9"/>
      <c r="G105" s="48"/>
      <c r="H105" s="49"/>
      <c r="I105" s="21"/>
      <c r="J105" s="50"/>
      <c r="K105" s="23" t="s">
        <v>40</v>
      </c>
    </row>
    <row r="106" ht="22.5" customHeight="1">
      <c r="A106" s="16" t="s">
        <v>339</v>
      </c>
      <c r="B106" s="17" t="s">
        <v>340</v>
      </c>
      <c r="C106" s="17" t="s">
        <v>341</v>
      </c>
      <c r="D106" s="18"/>
      <c r="E106" s="19"/>
      <c r="F106" s="9"/>
      <c r="G106" s="48"/>
      <c r="H106" s="49"/>
      <c r="I106" s="21"/>
      <c r="J106" s="50"/>
      <c r="K106" s="23" t="s">
        <v>40</v>
      </c>
    </row>
    <row r="107" ht="22.5" customHeight="1">
      <c r="A107" s="16" t="s">
        <v>342</v>
      </c>
      <c r="B107" s="17" t="s">
        <v>343</v>
      </c>
      <c r="C107" s="17" t="s">
        <v>344</v>
      </c>
      <c r="D107" s="18"/>
      <c r="E107" s="19"/>
      <c r="F107" s="9"/>
      <c r="G107" s="48"/>
      <c r="H107" s="49"/>
      <c r="I107" s="21"/>
      <c r="J107" s="50"/>
      <c r="K107" s="23" t="s">
        <v>40</v>
      </c>
    </row>
    <row r="108" ht="22.5" customHeight="1">
      <c r="A108" s="16" t="s">
        <v>345</v>
      </c>
      <c r="B108" s="17" t="s">
        <v>346</v>
      </c>
      <c r="C108" s="17" t="s">
        <v>347</v>
      </c>
      <c r="D108" s="18"/>
      <c r="E108" s="19"/>
      <c r="F108" s="9"/>
      <c r="G108" s="48"/>
      <c r="H108" s="49"/>
      <c r="I108" s="21"/>
      <c r="J108" s="50"/>
      <c r="K108" s="23" t="s">
        <v>40</v>
      </c>
    </row>
    <row r="109" ht="22.5" customHeight="1">
      <c r="A109" s="16" t="s">
        <v>348</v>
      </c>
      <c r="B109" s="17" t="s">
        <v>349</v>
      </c>
      <c r="C109" s="17" t="s">
        <v>350</v>
      </c>
      <c r="D109" s="18"/>
      <c r="E109" s="19"/>
      <c r="F109" s="9"/>
      <c r="G109" s="48"/>
      <c r="H109" s="49"/>
      <c r="I109" s="21"/>
      <c r="J109" s="50"/>
      <c r="K109" s="23" t="s">
        <v>40</v>
      </c>
    </row>
    <row r="110" ht="22.5" customHeight="1">
      <c r="A110" s="16" t="s">
        <v>351</v>
      </c>
      <c r="B110" s="17" t="s">
        <v>352</v>
      </c>
      <c r="C110" s="17" t="s">
        <v>353</v>
      </c>
      <c r="D110" s="18"/>
      <c r="E110" s="19"/>
      <c r="F110" s="9"/>
      <c r="G110" s="48"/>
      <c r="H110" s="49"/>
      <c r="I110" s="21"/>
      <c r="J110" s="50"/>
      <c r="K110" s="23" t="s">
        <v>40</v>
      </c>
    </row>
    <row r="111" ht="22.5" customHeight="1">
      <c r="A111" s="16" t="s">
        <v>354</v>
      </c>
      <c r="B111" s="17" t="s">
        <v>355</v>
      </c>
      <c r="C111" s="17" t="s">
        <v>356</v>
      </c>
      <c r="D111" s="18"/>
      <c r="E111" s="19"/>
      <c r="F111" s="9"/>
      <c r="G111" s="48"/>
      <c r="H111" s="49"/>
      <c r="I111" s="21"/>
      <c r="J111" s="50"/>
      <c r="K111" s="23" t="s">
        <v>40</v>
      </c>
    </row>
    <row r="112" ht="22.5" customHeight="1">
      <c r="A112" s="16" t="s">
        <v>357</v>
      </c>
      <c r="B112" s="17" t="s">
        <v>358</v>
      </c>
      <c r="C112" s="17" t="s">
        <v>359</v>
      </c>
      <c r="D112" s="18"/>
      <c r="E112" s="19"/>
      <c r="F112" s="9"/>
      <c r="G112" s="48"/>
      <c r="H112" s="49"/>
      <c r="I112" s="21"/>
      <c r="J112" s="50"/>
      <c r="K112" s="23" t="s">
        <v>40</v>
      </c>
    </row>
    <row r="113" ht="22.5" customHeight="1">
      <c r="A113" s="16" t="s">
        <v>360</v>
      </c>
      <c r="B113" s="17" t="s">
        <v>361</v>
      </c>
      <c r="C113" s="17" t="s">
        <v>362</v>
      </c>
      <c r="D113" s="18"/>
      <c r="E113" s="19"/>
      <c r="F113" s="9"/>
      <c r="G113" s="48"/>
      <c r="H113" s="49"/>
      <c r="I113" s="21"/>
      <c r="J113" s="50"/>
      <c r="K113" s="23" t="s">
        <v>40</v>
      </c>
    </row>
    <row r="114" ht="22.5" customHeight="1">
      <c r="A114" s="16" t="s">
        <v>363</v>
      </c>
      <c r="B114" s="17" t="s">
        <v>364</v>
      </c>
      <c r="C114" s="17"/>
      <c r="D114" s="18"/>
      <c r="E114" s="19"/>
      <c r="F114" s="9"/>
      <c r="G114" s="48"/>
      <c r="H114" s="49"/>
      <c r="I114" s="21"/>
      <c r="J114" s="50"/>
      <c r="K114" s="23" t="s">
        <v>40</v>
      </c>
    </row>
    <row r="115" ht="22.5" customHeight="1">
      <c r="A115" s="16" t="s">
        <v>365</v>
      </c>
      <c r="B115" s="17" t="s">
        <v>366</v>
      </c>
      <c r="C115" s="17" t="s">
        <v>367</v>
      </c>
      <c r="D115" s="18"/>
      <c r="E115" s="19"/>
      <c r="F115" s="9"/>
      <c r="G115" s="48"/>
      <c r="H115" s="49"/>
      <c r="I115" s="21"/>
      <c r="J115" s="50"/>
      <c r="K115" s="23" t="s">
        <v>40</v>
      </c>
    </row>
    <row r="116" ht="22.5" customHeight="1">
      <c r="A116" s="16" t="s">
        <v>368</v>
      </c>
      <c r="B116" s="17" t="s">
        <v>369</v>
      </c>
      <c r="C116" s="17" t="s">
        <v>370</v>
      </c>
      <c r="D116" s="18"/>
      <c r="E116" s="19"/>
      <c r="F116" s="9"/>
      <c r="G116" s="48"/>
      <c r="H116" s="49"/>
      <c r="I116" s="21"/>
      <c r="J116" s="50"/>
      <c r="K116" s="23" t="s">
        <v>40</v>
      </c>
    </row>
    <row r="117" ht="22.5" customHeight="1">
      <c r="A117" s="16" t="s">
        <v>371</v>
      </c>
      <c r="B117" s="17" t="s">
        <v>372</v>
      </c>
      <c r="C117" s="17" t="s">
        <v>370</v>
      </c>
      <c r="D117" s="18"/>
      <c r="E117" s="19"/>
      <c r="F117" s="9"/>
      <c r="G117" s="48"/>
      <c r="H117" s="49"/>
      <c r="I117" s="21"/>
      <c r="J117" s="50"/>
      <c r="K117" s="23" t="s">
        <v>40</v>
      </c>
    </row>
    <row r="118" ht="22.5" customHeight="1">
      <c r="A118" s="16" t="s">
        <v>373</v>
      </c>
      <c r="B118" s="17" t="s">
        <v>374</v>
      </c>
      <c r="C118" s="17" t="s">
        <v>375</v>
      </c>
      <c r="D118" s="18"/>
      <c r="E118" s="19"/>
      <c r="F118" s="9"/>
      <c r="G118" s="48"/>
      <c r="H118" s="49"/>
      <c r="I118" s="21"/>
      <c r="J118" s="50"/>
      <c r="K118" s="23" t="s">
        <v>40</v>
      </c>
    </row>
    <row r="119" ht="22.5" customHeight="1">
      <c r="A119" s="16" t="s">
        <v>376</v>
      </c>
      <c r="B119" s="17" t="s">
        <v>377</v>
      </c>
      <c r="C119" s="17" t="s">
        <v>378</v>
      </c>
      <c r="D119" s="18"/>
      <c r="E119" s="19"/>
      <c r="F119" s="9"/>
      <c r="G119" s="48"/>
      <c r="H119" s="49"/>
      <c r="I119" s="21"/>
      <c r="J119" s="50"/>
      <c r="K119" s="23" t="s">
        <v>40</v>
      </c>
    </row>
    <row r="120" ht="22.5" customHeight="1">
      <c r="A120" s="16" t="s">
        <v>379</v>
      </c>
      <c r="B120" s="17" t="s">
        <v>380</v>
      </c>
      <c r="C120" s="17" t="s">
        <v>381</v>
      </c>
      <c r="D120" s="18"/>
      <c r="E120" s="19"/>
      <c r="F120" s="9"/>
      <c r="G120" s="48"/>
      <c r="H120" s="49"/>
      <c r="I120" s="21"/>
      <c r="J120" s="50"/>
      <c r="K120" s="23" t="s">
        <v>40</v>
      </c>
    </row>
    <row r="121" ht="22.5" customHeight="1">
      <c r="A121" s="16" t="s">
        <v>382</v>
      </c>
      <c r="B121" s="17" t="s">
        <v>383</v>
      </c>
      <c r="C121" s="17" t="s">
        <v>384</v>
      </c>
      <c r="D121" s="18"/>
      <c r="E121" s="19"/>
      <c r="F121" s="9"/>
      <c r="G121" s="48"/>
      <c r="H121" s="49"/>
      <c r="I121" s="21"/>
      <c r="J121" s="50"/>
      <c r="K121" s="23" t="s">
        <v>40</v>
      </c>
    </row>
    <row r="122" ht="22.5" customHeight="1">
      <c r="A122" s="16" t="s">
        <v>385</v>
      </c>
      <c r="B122" s="17" t="s">
        <v>386</v>
      </c>
      <c r="C122" s="17" t="s">
        <v>387</v>
      </c>
      <c r="D122" s="18"/>
      <c r="E122" s="19"/>
      <c r="F122" s="9"/>
      <c r="G122" s="48"/>
      <c r="H122" s="49"/>
      <c r="I122" s="21"/>
      <c r="J122" s="50"/>
      <c r="K122" s="23" t="s">
        <v>40</v>
      </c>
    </row>
    <row r="123" ht="22.5" customHeight="1">
      <c r="A123" s="16" t="s">
        <v>388</v>
      </c>
      <c r="B123" s="17" t="s">
        <v>389</v>
      </c>
      <c r="C123" s="17" t="s">
        <v>390</v>
      </c>
      <c r="D123" s="18"/>
      <c r="E123" s="19"/>
      <c r="F123" s="9"/>
      <c r="G123" s="48"/>
      <c r="H123" s="49"/>
      <c r="I123" s="21"/>
      <c r="J123" s="50"/>
      <c r="K123" s="23" t="s">
        <v>40</v>
      </c>
    </row>
    <row r="124" ht="22.5" customHeight="1">
      <c r="A124" s="16" t="s">
        <v>391</v>
      </c>
      <c r="B124" s="17" t="s">
        <v>392</v>
      </c>
      <c r="C124" s="17" t="s">
        <v>393</v>
      </c>
      <c r="D124" s="18"/>
      <c r="E124" s="19"/>
      <c r="F124" s="9"/>
      <c r="G124" s="48"/>
      <c r="H124" s="49"/>
      <c r="I124" s="21"/>
      <c r="J124" s="50"/>
      <c r="K124" s="23" t="s">
        <v>40</v>
      </c>
    </row>
    <row r="125" ht="22.5" customHeight="1">
      <c r="A125" s="16" t="s">
        <v>394</v>
      </c>
      <c r="B125" s="17" t="s">
        <v>395</v>
      </c>
      <c r="C125" s="17" t="s">
        <v>396</v>
      </c>
      <c r="D125" s="18"/>
      <c r="E125" s="19"/>
      <c r="F125" s="9"/>
      <c r="G125" s="48"/>
      <c r="H125" s="49"/>
      <c r="I125" s="21"/>
      <c r="J125" s="50"/>
      <c r="K125" s="23" t="s">
        <v>40</v>
      </c>
    </row>
    <row r="126" ht="22.5" customHeight="1">
      <c r="A126" s="16" t="s">
        <v>397</v>
      </c>
      <c r="B126" s="17" t="s">
        <v>398</v>
      </c>
      <c r="C126" s="17" t="s">
        <v>399</v>
      </c>
      <c r="D126" s="18"/>
      <c r="E126" s="19"/>
      <c r="F126" s="9"/>
      <c r="G126" s="48"/>
      <c r="H126" s="49"/>
      <c r="I126" s="21"/>
      <c r="J126" s="50"/>
      <c r="K126" s="23" t="s">
        <v>40</v>
      </c>
    </row>
    <row r="127" ht="22.5" customHeight="1">
      <c r="A127" s="16" t="s">
        <v>400</v>
      </c>
      <c r="B127" s="17" t="s">
        <v>401</v>
      </c>
      <c r="C127" s="17" t="s">
        <v>402</v>
      </c>
      <c r="D127" s="18"/>
      <c r="E127" s="19"/>
      <c r="F127" s="9"/>
      <c r="G127" s="48"/>
      <c r="H127" s="49"/>
      <c r="I127" s="21"/>
      <c r="J127" s="50"/>
      <c r="K127" s="23" t="s">
        <v>40</v>
      </c>
    </row>
    <row r="128" ht="22.5" customHeight="1">
      <c r="A128" s="16" t="s">
        <v>403</v>
      </c>
      <c r="B128" s="17" t="s">
        <v>404</v>
      </c>
      <c r="C128" s="17" t="s">
        <v>405</v>
      </c>
      <c r="D128" s="18"/>
      <c r="E128" s="19"/>
      <c r="F128" s="9"/>
      <c r="G128" s="48"/>
      <c r="H128" s="49"/>
      <c r="I128" s="21"/>
      <c r="J128" s="50"/>
      <c r="K128" s="23" t="s">
        <v>40</v>
      </c>
    </row>
    <row r="129" ht="22.5" customHeight="1">
      <c r="A129" s="16" t="s">
        <v>406</v>
      </c>
      <c r="B129" s="17" t="s">
        <v>407</v>
      </c>
      <c r="C129" s="17" t="s">
        <v>408</v>
      </c>
      <c r="D129" s="18"/>
      <c r="E129" s="19"/>
      <c r="F129" s="9"/>
      <c r="G129" s="48"/>
      <c r="H129" s="49"/>
      <c r="I129" s="21"/>
      <c r="J129" s="50"/>
      <c r="K129" s="23" t="s">
        <v>40</v>
      </c>
    </row>
    <row r="130" ht="22.5" customHeight="1">
      <c r="A130" s="16" t="s">
        <v>409</v>
      </c>
      <c r="B130" s="17" t="s">
        <v>410</v>
      </c>
      <c r="C130" s="17" t="s">
        <v>411</v>
      </c>
      <c r="D130" s="18"/>
      <c r="E130" s="19"/>
      <c r="F130" s="9"/>
      <c r="G130" s="48"/>
      <c r="H130" s="49"/>
      <c r="I130" s="21"/>
      <c r="J130" s="50"/>
      <c r="K130" s="23" t="s">
        <v>40</v>
      </c>
    </row>
    <row r="131" ht="22.5" customHeight="1">
      <c r="A131" s="16" t="s">
        <v>412</v>
      </c>
      <c r="B131" s="17" t="s">
        <v>413</v>
      </c>
      <c r="C131" s="17"/>
      <c r="D131" s="18"/>
      <c r="E131" s="19"/>
      <c r="F131" s="9"/>
      <c r="G131" s="48"/>
      <c r="H131" s="49"/>
      <c r="I131" s="21"/>
      <c r="J131" s="50"/>
      <c r="K131" s="23" t="s">
        <v>40</v>
      </c>
    </row>
    <row r="132" ht="22.5" customHeight="1">
      <c r="A132" s="16" t="s">
        <v>414</v>
      </c>
      <c r="B132" s="17" t="s">
        <v>415</v>
      </c>
      <c r="C132" s="17" t="s">
        <v>416</v>
      </c>
      <c r="D132" s="18"/>
      <c r="E132" s="19"/>
      <c r="F132" s="9"/>
      <c r="G132" s="48"/>
      <c r="H132" s="49"/>
      <c r="I132" s="21"/>
      <c r="J132" s="50"/>
      <c r="K132" s="23" t="s">
        <v>40</v>
      </c>
    </row>
    <row r="133" ht="22.5" customHeight="1">
      <c r="A133" s="16" t="s">
        <v>417</v>
      </c>
      <c r="B133" s="17" t="s">
        <v>418</v>
      </c>
      <c r="C133" s="17"/>
      <c r="D133" s="18"/>
      <c r="E133" s="19"/>
      <c r="F133" s="9"/>
      <c r="G133" s="48"/>
      <c r="H133" s="49"/>
      <c r="I133" s="21"/>
      <c r="J133" s="50"/>
      <c r="K133" s="23" t="s">
        <v>40</v>
      </c>
    </row>
    <row r="134" ht="22.5" customHeight="1">
      <c r="A134" s="16" t="s">
        <v>419</v>
      </c>
      <c r="B134" s="17" t="s">
        <v>420</v>
      </c>
      <c r="C134" s="17" t="s">
        <v>421</v>
      </c>
      <c r="D134" s="18"/>
      <c r="E134" s="19"/>
      <c r="F134" s="9"/>
      <c r="G134" s="48"/>
      <c r="H134" s="49"/>
      <c r="I134" s="21"/>
      <c r="J134" s="50"/>
      <c r="K134" s="23" t="s">
        <v>40</v>
      </c>
    </row>
    <row r="135" ht="22.5" customHeight="1">
      <c r="A135" s="16" t="s">
        <v>422</v>
      </c>
      <c r="B135" s="17" t="s">
        <v>423</v>
      </c>
      <c r="C135" s="17" t="s">
        <v>424</v>
      </c>
      <c r="D135" s="18"/>
      <c r="E135" s="19"/>
      <c r="F135" s="9"/>
      <c r="G135" s="48"/>
      <c r="H135" s="49"/>
      <c r="I135" s="21"/>
      <c r="J135" s="50"/>
      <c r="K135" s="23" t="s">
        <v>40</v>
      </c>
    </row>
    <row r="136" ht="22.5" customHeight="1">
      <c r="A136" s="16" t="s">
        <v>425</v>
      </c>
      <c r="B136" s="17" t="s">
        <v>426</v>
      </c>
      <c r="C136" s="17" t="s">
        <v>427</v>
      </c>
      <c r="D136" s="18"/>
      <c r="E136" s="19"/>
      <c r="F136" s="9"/>
      <c r="G136" s="48"/>
      <c r="H136" s="49"/>
      <c r="I136" s="21"/>
      <c r="J136" s="50"/>
      <c r="K136" s="23" t="s">
        <v>40</v>
      </c>
    </row>
    <row r="137" ht="22.5" customHeight="1">
      <c r="A137" s="16" t="s">
        <v>428</v>
      </c>
      <c r="B137" s="17" t="s">
        <v>429</v>
      </c>
      <c r="C137" s="17" t="s">
        <v>430</v>
      </c>
      <c r="D137" s="18"/>
      <c r="E137" s="19"/>
      <c r="F137" s="9"/>
      <c r="G137" s="48"/>
      <c r="H137" s="49"/>
      <c r="I137" s="21"/>
      <c r="J137" s="50"/>
      <c r="K137" s="23" t="s">
        <v>40</v>
      </c>
    </row>
    <row r="138" ht="22.5" customHeight="1">
      <c r="A138" s="16" t="s">
        <v>431</v>
      </c>
      <c r="B138" s="17" t="s">
        <v>432</v>
      </c>
      <c r="C138" s="17" t="s">
        <v>433</v>
      </c>
      <c r="D138" s="18"/>
      <c r="E138" s="19"/>
      <c r="F138" s="9"/>
      <c r="G138" s="48"/>
      <c r="H138" s="49"/>
      <c r="I138" s="21"/>
      <c r="J138" s="50"/>
      <c r="K138" s="23" t="s">
        <v>40</v>
      </c>
    </row>
    <row r="139" ht="22.5" customHeight="1">
      <c r="A139" s="16" t="s">
        <v>434</v>
      </c>
      <c r="B139" s="17" t="s">
        <v>435</v>
      </c>
      <c r="C139" s="17" t="s">
        <v>436</v>
      </c>
      <c r="D139" s="18"/>
      <c r="E139" s="19"/>
      <c r="F139" s="9"/>
      <c r="G139" s="48"/>
      <c r="H139" s="49"/>
      <c r="I139" s="21"/>
      <c r="J139" s="50"/>
      <c r="K139" s="23" t="s">
        <v>40</v>
      </c>
    </row>
    <row r="140" ht="22.5" customHeight="1">
      <c r="A140" s="16" t="s">
        <v>437</v>
      </c>
      <c r="B140" s="17" t="s">
        <v>438</v>
      </c>
      <c r="C140" s="17" t="s">
        <v>439</v>
      </c>
      <c r="D140" s="18"/>
      <c r="E140" s="19"/>
      <c r="F140" s="9"/>
      <c r="G140" s="48"/>
      <c r="H140" s="49"/>
      <c r="I140" s="21"/>
      <c r="J140" s="50"/>
      <c r="K140" s="23" t="s">
        <v>40</v>
      </c>
    </row>
    <row r="141" ht="22.5" customHeight="1">
      <c r="A141" s="16" t="s">
        <v>440</v>
      </c>
      <c r="B141" s="17" t="s">
        <v>441</v>
      </c>
      <c r="C141" s="17" t="s">
        <v>442</v>
      </c>
      <c r="D141" s="18"/>
      <c r="E141" s="19"/>
      <c r="F141" s="9"/>
      <c r="G141" s="48"/>
      <c r="H141" s="49"/>
      <c r="I141" s="21"/>
      <c r="J141" s="50"/>
      <c r="K141" s="23" t="s">
        <v>40</v>
      </c>
    </row>
    <row r="142" ht="22.5" customHeight="1">
      <c r="A142" s="16" t="s">
        <v>443</v>
      </c>
      <c r="B142" s="17" t="s">
        <v>444</v>
      </c>
      <c r="C142" s="17" t="s">
        <v>445</v>
      </c>
      <c r="D142" s="18"/>
      <c r="E142" s="19"/>
      <c r="F142" s="9"/>
      <c r="G142" s="48"/>
      <c r="H142" s="49"/>
      <c r="I142" s="21"/>
      <c r="J142" s="50"/>
      <c r="K142" s="23" t="s">
        <v>40</v>
      </c>
    </row>
    <row r="143" ht="22.5" customHeight="1">
      <c r="A143" s="16" t="s">
        <v>446</v>
      </c>
      <c r="B143" s="17" t="s">
        <v>247</v>
      </c>
      <c r="C143" s="17" t="s">
        <v>248</v>
      </c>
      <c r="D143" s="18"/>
      <c r="E143" s="19"/>
      <c r="F143" s="9"/>
      <c r="G143" s="48"/>
      <c r="H143" s="49"/>
      <c r="I143" s="21"/>
      <c r="J143" s="50"/>
      <c r="K143" s="23" t="s">
        <v>40</v>
      </c>
    </row>
    <row r="144" ht="22.5" customHeight="1">
      <c r="A144" s="16" t="s">
        <v>447</v>
      </c>
      <c r="B144" s="17" t="s">
        <v>448</v>
      </c>
      <c r="C144" s="17" t="s">
        <v>449</v>
      </c>
      <c r="D144" s="18"/>
      <c r="E144" s="19"/>
      <c r="F144" s="9"/>
      <c r="G144" s="48"/>
      <c r="H144" s="49"/>
      <c r="I144" s="21"/>
      <c r="J144" s="50"/>
      <c r="K144" s="23" t="s">
        <v>40</v>
      </c>
    </row>
    <row r="145" ht="22.5" customHeight="1">
      <c r="A145" s="16" t="s">
        <v>450</v>
      </c>
      <c r="B145" s="17" t="s">
        <v>451</v>
      </c>
      <c r="C145" s="17" t="s">
        <v>452</v>
      </c>
      <c r="D145" s="18"/>
      <c r="E145" s="19"/>
      <c r="F145" s="9"/>
      <c r="G145" s="48"/>
      <c r="H145" s="49"/>
      <c r="I145" s="21"/>
      <c r="J145" s="50"/>
      <c r="K145" s="23" t="s">
        <v>40</v>
      </c>
    </row>
    <row r="146" ht="22.5" customHeight="1">
      <c r="A146" s="16" t="s">
        <v>453</v>
      </c>
      <c r="B146" s="17" t="s">
        <v>454</v>
      </c>
      <c r="C146" s="17" t="s">
        <v>455</v>
      </c>
      <c r="D146" s="18"/>
      <c r="E146" s="19"/>
      <c r="F146" s="9"/>
      <c r="G146" s="48"/>
      <c r="H146" s="49"/>
      <c r="I146" s="21"/>
      <c r="J146" s="50"/>
      <c r="K146" s="23" t="s">
        <v>40</v>
      </c>
    </row>
    <row r="147" ht="22.5" customHeight="1">
      <c r="A147" s="51"/>
      <c r="B147" s="17"/>
      <c r="C147" s="17"/>
      <c r="D147" s="18"/>
      <c r="E147" s="19"/>
      <c r="F147" s="9"/>
      <c r="G147" s="48"/>
      <c r="H147" s="49"/>
      <c r="I147" s="21"/>
      <c r="J147" s="50"/>
      <c r="K147" s="23" t="s">
        <v>40</v>
      </c>
    </row>
    <row r="148" ht="22.5" customHeight="1">
      <c r="A148" s="51"/>
      <c r="B148" s="17"/>
      <c r="C148" s="17"/>
      <c r="D148" s="18"/>
      <c r="E148" s="19"/>
      <c r="F148" s="9"/>
      <c r="G148" s="48"/>
      <c r="H148" s="49"/>
      <c r="I148" s="21"/>
      <c r="J148" s="50"/>
      <c r="K148" s="23" t="s">
        <v>40</v>
      </c>
    </row>
  </sheetData>
  <dataValidations>
    <dataValidation type="list" allowBlank="1" sqref="F2:F148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48">
      <formula1>OR(NOT(ISERROR(DATEVALUE(G2))), AND(ISNUMBER(G2), LEFT(CELL("format", G2))="D"))</formula1>
    </dataValidation>
    <dataValidation type="custom" allowBlank="1" showDropDown="1" sqref="H2:I148">
      <formula1>AND(ISNUMBER(H2),(NOT(OR(NOT(ISERROR(DATEVALUE(H2))), AND(ISNUMBER(H2), LEFT(CELL("format", H2))="D")))))</formula1>
    </dataValidation>
    <dataValidation type="list" allowBlank="1" sqref="J2:J148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48 E2:E148 K2:K148"/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5.38"/>
    <col customWidth="1" min="3" max="3" width="20.63"/>
    <col customWidth="1" min="4" max="4" width="18.88"/>
    <col customWidth="1" min="5" max="5" width="30.88"/>
    <col customWidth="1" min="6" max="6" width="37.75"/>
    <col customWidth="1" min="7" max="7" width="27.38"/>
    <col customWidth="1" min="8" max="8" width="24.75"/>
    <col customWidth="1" min="9" max="9" width="25.13"/>
    <col customWidth="1" min="10" max="10" width="28.63"/>
    <col customWidth="1" min="11" max="11" width="23.25"/>
  </cols>
  <sheetData>
    <row r="1" ht="22.5" customHeight="1">
      <c r="A1" s="14" t="s">
        <v>23</v>
      </c>
      <c r="B1" s="14" t="s">
        <v>24</v>
      </c>
      <c r="C1" s="14" t="s">
        <v>25</v>
      </c>
      <c r="D1" s="14" t="s">
        <v>26</v>
      </c>
      <c r="E1" s="14" t="s">
        <v>27</v>
      </c>
      <c r="F1" s="14" t="s">
        <v>28</v>
      </c>
      <c r="G1" s="14" t="s">
        <v>29</v>
      </c>
      <c r="H1" s="14" t="s">
        <v>30</v>
      </c>
      <c r="I1" s="14" t="s">
        <v>31</v>
      </c>
      <c r="J1" s="14" t="s">
        <v>32</v>
      </c>
      <c r="K1" s="14" t="s">
        <v>33</v>
      </c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ht="22.5" customHeight="1">
      <c r="A2" s="16" t="s">
        <v>456</v>
      </c>
      <c r="B2" s="52" t="s">
        <v>457</v>
      </c>
      <c r="C2" s="17" t="s">
        <v>458</v>
      </c>
      <c r="D2" s="18"/>
      <c r="E2" s="53" t="s">
        <v>459</v>
      </c>
      <c r="F2" s="9" t="s">
        <v>460</v>
      </c>
      <c r="G2" s="20">
        <v>45993.0</v>
      </c>
      <c r="H2" s="11">
        <v>100000.0</v>
      </c>
      <c r="I2" s="21"/>
      <c r="J2" s="22" t="s">
        <v>97</v>
      </c>
      <c r="K2" s="23" t="s">
        <v>461</v>
      </c>
    </row>
    <row r="3" ht="22.5" customHeight="1">
      <c r="A3" s="16" t="s">
        <v>462</v>
      </c>
      <c r="B3" s="17" t="s">
        <v>463</v>
      </c>
      <c r="C3" s="17" t="s">
        <v>464</v>
      </c>
      <c r="D3" s="18"/>
      <c r="E3" s="53" t="s">
        <v>459</v>
      </c>
      <c r="F3" s="9" t="s">
        <v>140</v>
      </c>
      <c r="G3" s="20">
        <v>45996.0</v>
      </c>
      <c r="H3" s="11">
        <v>80000.0</v>
      </c>
      <c r="I3" s="21"/>
      <c r="J3" s="22" t="s">
        <v>97</v>
      </c>
      <c r="K3" s="23" t="s">
        <v>461</v>
      </c>
    </row>
    <row r="4" ht="22.5" customHeight="1">
      <c r="A4" s="16" t="s">
        <v>465</v>
      </c>
      <c r="B4" s="17" t="s">
        <v>466</v>
      </c>
      <c r="C4" s="17" t="s">
        <v>467</v>
      </c>
      <c r="D4" s="18"/>
      <c r="E4" s="53" t="s">
        <v>459</v>
      </c>
      <c r="F4" s="9" t="s">
        <v>460</v>
      </c>
      <c r="G4" s="20">
        <v>46002.0</v>
      </c>
      <c r="H4" s="11">
        <v>200000.0</v>
      </c>
      <c r="I4" s="21"/>
      <c r="J4" s="22" t="s">
        <v>97</v>
      </c>
      <c r="K4" s="23" t="s">
        <v>461</v>
      </c>
    </row>
    <row r="5" ht="22.5" customHeight="1">
      <c r="A5" s="16" t="s">
        <v>468</v>
      </c>
      <c r="B5" s="17" t="s">
        <v>469</v>
      </c>
      <c r="C5" s="17" t="s">
        <v>319</v>
      </c>
      <c r="D5" s="18"/>
      <c r="E5" s="53" t="s">
        <v>459</v>
      </c>
      <c r="F5" s="9" t="s">
        <v>140</v>
      </c>
      <c r="G5" s="20">
        <v>45908.0</v>
      </c>
      <c r="H5" s="11">
        <v>80000.0</v>
      </c>
      <c r="I5" s="21"/>
      <c r="J5" s="22" t="s">
        <v>97</v>
      </c>
      <c r="K5" s="23" t="s">
        <v>461</v>
      </c>
    </row>
    <row r="6" ht="22.5" customHeight="1">
      <c r="A6" s="16" t="s">
        <v>470</v>
      </c>
      <c r="B6" s="17" t="s">
        <v>471</v>
      </c>
      <c r="C6" s="17" t="s">
        <v>472</v>
      </c>
      <c r="D6" s="18"/>
      <c r="E6" s="53" t="s">
        <v>459</v>
      </c>
      <c r="F6" s="9" t="s">
        <v>140</v>
      </c>
      <c r="G6" s="20">
        <v>46038.0</v>
      </c>
      <c r="H6" s="11">
        <v>80000.0</v>
      </c>
      <c r="I6" s="21"/>
      <c r="J6" s="22" t="s">
        <v>97</v>
      </c>
      <c r="K6" s="23" t="s">
        <v>461</v>
      </c>
    </row>
    <row r="7" ht="22.5" customHeight="1">
      <c r="A7" s="16" t="s">
        <v>473</v>
      </c>
      <c r="B7" s="17" t="s">
        <v>474</v>
      </c>
      <c r="C7" s="17" t="s">
        <v>475</v>
      </c>
      <c r="D7" s="18"/>
      <c r="E7" s="53" t="s">
        <v>459</v>
      </c>
      <c r="F7" s="9" t="s">
        <v>460</v>
      </c>
      <c r="G7" s="20">
        <v>45921.0</v>
      </c>
      <c r="H7" s="11">
        <v>80000.0</v>
      </c>
      <c r="I7" s="21"/>
      <c r="J7" s="22" t="s">
        <v>97</v>
      </c>
      <c r="K7" s="23" t="s">
        <v>461</v>
      </c>
    </row>
    <row r="8" ht="22.5" customHeight="1">
      <c r="A8" s="16" t="s">
        <v>476</v>
      </c>
      <c r="B8" s="17" t="s">
        <v>477</v>
      </c>
      <c r="C8" s="17" t="s">
        <v>478</v>
      </c>
      <c r="D8" s="18"/>
      <c r="E8" s="53" t="s">
        <v>459</v>
      </c>
      <c r="F8" s="9" t="s">
        <v>140</v>
      </c>
      <c r="G8" s="20">
        <v>45925.0</v>
      </c>
      <c r="H8" s="11">
        <v>100000.0</v>
      </c>
      <c r="I8" s="21"/>
      <c r="J8" s="22" t="s">
        <v>97</v>
      </c>
      <c r="K8" s="23" t="s">
        <v>461</v>
      </c>
    </row>
    <row r="9" ht="22.5" customHeight="1">
      <c r="A9" s="16" t="s">
        <v>479</v>
      </c>
      <c r="B9" s="17" t="s">
        <v>480</v>
      </c>
      <c r="C9" s="17" t="s">
        <v>481</v>
      </c>
      <c r="D9" s="18"/>
      <c r="E9" s="53" t="s">
        <v>459</v>
      </c>
      <c r="F9" s="9" t="s">
        <v>460</v>
      </c>
      <c r="G9" s="20">
        <v>45942.0</v>
      </c>
      <c r="H9" s="11">
        <v>100000.0</v>
      </c>
      <c r="I9" s="21"/>
      <c r="J9" s="22" t="s">
        <v>97</v>
      </c>
      <c r="K9" s="23" t="s">
        <v>461</v>
      </c>
    </row>
    <row r="10" ht="22.5" customHeight="1">
      <c r="A10" s="16" t="s">
        <v>482</v>
      </c>
      <c r="B10" s="17" t="s">
        <v>483</v>
      </c>
      <c r="C10" s="17" t="s">
        <v>484</v>
      </c>
      <c r="D10" s="18"/>
      <c r="E10" s="53" t="s">
        <v>459</v>
      </c>
      <c r="F10" s="9" t="s">
        <v>460</v>
      </c>
      <c r="G10" s="20">
        <v>45951.0</v>
      </c>
      <c r="H10" s="11">
        <v>80000.0</v>
      </c>
      <c r="I10" s="21"/>
      <c r="J10" s="22" t="s">
        <v>97</v>
      </c>
      <c r="K10" s="23" t="s">
        <v>461</v>
      </c>
    </row>
    <row r="11" ht="22.5" customHeight="1">
      <c r="A11" s="16" t="s">
        <v>485</v>
      </c>
      <c r="B11" s="17" t="s">
        <v>486</v>
      </c>
      <c r="C11" s="17" t="s">
        <v>487</v>
      </c>
      <c r="D11" s="18"/>
      <c r="E11" s="53" t="s">
        <v>459</v>
      </c>
      <c r="F11" s="9" t="s">
        <v>140</v>
      </c>
      <c r="G11" s="20">
        <v>45961.0</v>
      </c>
      <c r="H11" s="11">
        <v>80000.0</v>
      </c>
      <c r="I11" s="21"/>
      <c r="J11" s="22" t="s">
        <v>97</v>
      </c>
      <c r="K11" s="23" t="s">
        <v>461</v>
      </c>
    </row>
    <row r="12" ht="22.5" customHeight="1">
      <c r="A12" s="16" t="s">
        <v>488</v>
      </c>
      <c r="B12" s="17" t="s">
        <v>489</v>
      </c>
      <c r="C12" s="17" t="s">
        <v>490</v>
      </c>
      <c r="D12" s="18"/>
      <c r="E12" s="53" t="s">
        <v>459</v>
      </c>
      <c r="F12" s="9" t="s">
        <v>491</v>
      </c>
      <c r="G12" s="20">
        <v>45847.0</v>
      </c>
      <c r="H12" s="11">
        <v>250095.01</v>
      </c>
      <c r="I12" s="21"/>
      <c r="J12" s="22" t="s">
        <v>97</v>
      </c>
      <c r="K12" s="23" t="s">
        <v>461</v>
      </c>
    </row>
    <row r="13" ht="22.5" customHeight="1">
      <c r="A13" s="16" t="s">
        <v>492</v>
      </c>
      <c r="B13" s="17" t="s">
        <v>493</v>
      </c>
      <c r="C13" s="17" t="s">
        <v>494</v>
      </c>
      <c r="D13" s="18"/>
      <c r="E13" s="53" t="s">
        <v>459</v>
      </c>
      <c r="F13" s="9" t="s">
        <v>47</v>
      </c>
      <c r="G13" s="20">
        <v>45676.0</v>
      </c>
      <c r="H13" s="11">
        <v>2371.32</v>
      </c>
      <c r="I13" s="21"/>
      <c r="J13" s="22" t="s">
        <v>39</v>
      </c>
      <c r="K13" s="23" t="s">
        <v>461</v>
      </c>
    </row>
    <row r="14" ht="22.5" customHeight="1">
      <c r="A14" s="16" t="s">
        <v>495</v>
      </c>
      <c r="B14" s="17" t="s">
        <v>496</v>
      </c>
      <c r="C14" s="17" t="s">
        <v>497</v>
      </c>
      <c r="D14" s="18"/>
      <c r="E14" s="53" t="s">
        <v>459</v>
      </c>
      <c r="F14" s="9" t="s">
        <v>47</v>
      </c>
      <c r="G14" s="20">
        <v>45672.0</v>
      </c>
      <c r="H14" s="11">
        <v>215363.9</v>
      </c>
      <c r="I14" s="21"/>
      <c r="J14" s="22" t="s">
        <v>498</v>
      </c>
      <c r="K14" s="23" t="s">
        <v>461</v>
      </c>
    </row>
    <row r="15" ht="22.5" customHeight="1">
      <c r="A15" s="16" t="s">
        <v>499</v>
      </c>
      <c r="B15" s="17" t="s">
        <v>500</v>
      </c>
      <c r="C15" s="17" t="s">
        <v>501</v>
      </c>
      <c r="D15" s="18"/>
      <c r="E15" s="53" t="s">
        <v>459</v>
      </c>
      <c r="F15" s="9" t="s">
        <v>140</v>
      </c>
      <c r="G15" s="20">
        <v>45961.0</v>
      </c>
      <c r="H15" s="11">
        <v>100000.0</v>
      </c>
      <c r="I15" s="21"/>
      <c r="J15" s="22" t="s">
        <v>97</v>
      </c>
      <c r="K15" s="23" t="s">
        <v>461</v>
      </c>
    </row>
    <row r="16" ht="22.5" customHeight="1">
      <c r="A16" s="16" t="s">
        <v>502</v>
      </c>
      <c r="B16" s="17" t="s">
        <v>503</v>
      </c>
      <c r="C16" s="17" t="s">
        <v>504</v>
      </c>
      <c r="D16" s="18"/>
      <c r="E16" s="53" t="s">
        <v>459</v>
      </c>
      <c r="F16" s="9" t="s">
        <v>140</v>
      </c>
      <c r="G16" s="20">
        <v>45597.0</v>
      </c>
      <c r="H16" s="11">
        <v>100000.0</v>
      </c>
      <c r="I16" s="21"/>
      <c r="J16" s="22" t="s">
        <v>97</v>
      </c>
      <c r="K16" s="23" t="s">
        <v>461</v>
      </c>
    </row>
    <row r="17" ht="22.5" customHeight="1">
      <c r="A17" s="16" t="s">
        <v>505</v>
      </c>
      <c r="B17" s="17" t="s">
        <v>506</v>
      </c>
      <c r="C17" s="17" t="s">
        <v>507</v>
      </c>
      <c r="D17" s="18"/>
      <c r="E17" s="53" t="s">
        <v>459</v>
      </c>
      <c r="F17" s="9" t="s">
        <v>140</v>
      </c>
      <c r="G17" s="20">
        <v>45597.0</v>
      </c>
      <c r="H17" s="11">
        <v>100000.0</v>
      </c>
      <c r="I17" s="21"/>
      <c r="J17" s="22" t="s">
        <v>97</v>
      </c>
      <c r="K17" s="23" t="s">
        <v>461</v>
      </c>
    </row>
    <row r="18" ht="22.5" customHeight="1">
      <c r="A18" s="16" t="s">
        <v>508</v>
      </c>
      <c r="B18" s="17" t="s">
        <v>509</v>
      </c>
      <c r="C18" s="17" t="s">
        <v>510</v>
      </c>
      <c r="D18" s="18"/>
      <c r="E18" s="53" t="s">
        <v>459</v>
      </c>
      <c r="F18" s="9" t="s">
        <v>140</v>
      </c>
      <c r="G18" s="20">
        <v>45597.0</v>
      </c>
      <c r="H18" s="49"/>
      <c r="I18" s="21"/>
      <c r="J18" s="22" t="s">
        <v>97</v>
      </c>
      <c r="K18" s="23" t="s">
        <v>461</v>
      </c>
    </row>
    <row r="19" ht="22.5" customHeight="1">
      <c r="A19" s="16" t="s">
        <v>511</v>
      </c>
      <c r="B19" s="17" t="s">
        <v>512</v>
      </c>
      <c r="C19" s="20" t="s">
        <v>513</v>
      </c>
      <c r="D19" s="18"/>
      <c r="E19" s="53" t="s">
        <v>459</v>
      </c>
      <c r="F19" s="9" t="s">
        <v>47</v>
      </c>
      <c r="G19" s="20">
        <v>45704.0</v>
      </c>
      <c r="H19" s="49"/>
      <c r="I19" s="21"/>
      <c r="J19" s="22" t="s">
        <v>56</v>
      </c>
      <c r="K19" s="23" t="s">
        <v>461</v>
      </c>
    </row>
    <row r="20" ht="22.5" customHeight="1">
      <c r="A20" s="16" t="s">
        <v>514</v>
      </c>
      <c r="B20" s="17" t="s">
        <v>515</v>
      </c>
      <c r="C20" s="17" t="s">
        <v>516</v>
      </c>
      <c r="D20" s="18"/>
      <c r="E20" s="53" t="s">
        <v>459</v>
      </c>
      <c r="F20" s="9" t="s">
        <v>47</v>
      </c>
      <c r="G20" s="20">
        <v>45704.0</v>
      </c>
      <c r="H20" s="49"/>
      <c r="I20" s="21"/>
      <c r="J20" s="22" t="s">
        <v>56</v>
      </c>
      <c r="K20" s="23" t="s">
        <v>461</v>
      </c>
    </row>
    <row r="21" ht="22.5" customHeight="1">
      <c r="A21" s="16" t="s">
        <v>517</v>
      </c>
      <c r="B21" s="17" t="s">
        <v>518</v>
      </c>
      <c r="C21" s="17" t="s">
        <v>519</v>
      </c>
      <c r="D21" s="18"/>
      <c r="E21" s="53" t="s">
        <v>459</v>
      </c>
      <c r="F21" s="9" t="s">
        <v>63</v>
      </c>
      <c r="G21" s="20">
        <v>45600.0</v>
      </c>
      <c r="H21" s="49"/>
      <c r="I21" s="21"/>
      <c r="J21" s="22" t="s">
        <v>520</v>
      </c>
      <c r="K21" s="23" t="s">
        <v>461</v>
      </c>
    </row>
    <row r="22" ht="22.5" customHeight="1">
      <c r="A22" s="16" t="s">
        <v>521</v>
      </c>
      <c r="B22" s="17" t="s">
        <v>522</v>
      </c>
      <c r="C22" s="17" t="s">
        <v>523</v>
      </c>
      <c r="D22" s="18"/>
      <c r="E22" s="53" t="s">
        <v>459</v>
      </c>
      <c r="F22" s="9" t="s">
        <v>47</v>
      </c>
      <c r="G22" s="20">
        <v>45876.0</v>
      </c>
      <c r="H22" s="49"/>
      <c r="I22" s="21"/>
      <c r="J22" s="22" t="s">
        <v>524</v>
      </c>
      <c r="K22" s="23" t="s">
        <v>461</v>
      </c>
    </row>
    <row r="23" ht="22.5" customHeight="1">
      <c r="A23" s="16" t="s">
        <v>525</v>
      </c>
      <c r="B23" s="17" t="s">
        <v>526</v>
      </c>
      <c r="C23" s="17" t="s">
        <v>527</v>
      </c>
      <c r="D23" s="18"/>
      <c r="E23" s="53" t="s">
        <v>459</v>
      </c>
      <c r="F23" s="9" t="s">
        <v>47</v>
      </c>
      <c r="G23" s="20">
        <v>45940.0</v>
      </c>
      <c r="H23" s="49"/>
      <c r="I23" s="21"/>
      <c r="J23" s="22" t="s">
        <v>48</v>
      </c>
      <c r="K23" s="23" t="s">
        <v>461</v>
      </c>
    </row>
    <row r="24" ht="22.5" customHeight="1">
      <c r="A24" s="16" t="s">
        <v>528</v>
      </c>
      <c r="B24" s="17" t="s">
        <v>529</v>
      </c>
      <c r="C24" s="17" t="s">
        <v>530</v>
      </c>
      <c r="D24" s="18"/>
      <c r="E24" s="53" t="s">
        <v>459</v>
      </c>
      <c r="F24" s="9" t="s">
        <v>127</v>
      </c>
      <c r="G24" s="20">
        <v>45947.0</v>
      </c>
      <c r="H24" s="49"/>
      <c r="I24" s="21"/>
      <c r="J24" s="22" t="s">
        <v>524</v>
      </c>
      <c r="K24" s="23" t="s">
        <v>461</v>
      </c>
    </row>
    <row r="25" ht="22.5" customHeight="1">
      <c r="A25" s="16" t="s">
        <v>531</v>
      </c>
      <c r="B25" s="17" t="s">
        <v>532</v>
      </c>
      <c r="C25" s="17" t="s">
        <v>533</v>
      </c>
      <c r="D25" s="18"/>
      <c r="E25" s="53" t="s">
        <v>459</v>
      </c>
      <c r="F25" s="9" t="s">
        <v>55</v>
      </c>
      <c r="G25" s="20">
        <v>45720.0</v>
      </c>
      <c r="H25" s="49"/>
      <c r="I25" s="21"/>
      <c r="J25" s="22" t="s">
        <v>39</v>
      </c>
      <c r="K25" s="23" t="s">
        <v>461</v>
      </c>
    </row>
    <row r="26" ht="22.5" customHeight="1">
      <c r="A26" s="16" t="s">
        <v>534</v>
      </c>
      <c r="B26" s="17" t="s">
        <v>535</v>
      </c>
      <c r="C26" s="17" t="s">
        <v>536</v>
      </c>
      <c r="D26" s="54" t="s">
        <v>537</v>
      </c>
      <c r="E26" s="53" t="s">
        <v>459</v>
      </c>
      <c r="F26" s="9" t="s">
        <v>63</v>
      </c>
      <c r="G26" s="20">
        <v>45190.0</v>
      </c>
      <c r="H26" s="49"/>
      <c r="I26" s="21"/>
      <c r="J26" s="22" t="s">
        <v>56</v>
      </c>
      <c r="K26" s="23" t="s">
        <v>461</v>
      </c>
    </row>
    <row r="27" ht="22.5" customHeight="1">
      <c r="A27" s="16" t="s">
        <v>538</v>
      </c>
      <c r="B27" s="17" t="s">
        <v>539</v>
      </c>
      <c r="C27" s="17" t="s">
        <v>540</v>
      </c>
      <c r="D27" s="54" t="s">
        <v>541</v>
      </c>
      <c r="E27" s="53" t="s">
        <v>459</v>
      </c>
      <c r="F27" s="9" t="s">
        <v>140</v>
      </c>
      <c r="G27" s="20">
        <v>45597.0</v>
      </c>
      <c r="H27" s="49"/>
      <c r="I27" s="21"/>
      <c r="J27" s="22" t="s">
        <v>97</v>
      </c>
      <c r="K27" s="23" t="s">
        <v>461</v>
      </c>
    </row>
    <row r="28" ht="22.5" customHeight="1">
      <c r="A28" s="16" t="s">
        <v>542</v>
      </c>
      <c r="B28" s="17" t="s">
        <v>543</v>
      </c>
      <c r="C28" s="17" t="s">
        <v>544</v>
      </c>
      <c r="D28" s="54" t="s">
        <v>537</v>
      </c>
      <c r="E28" s="53" t="s">
        <v>459</v>
      </c>
      <c r="F28" s="9" t="s">
        <v>140</v>
      </c>
      <c r="G28" s="20">
        <v>45597.0</v>
      </c>
      <c r="H28" s="49"/>
      <c r="I28" s="21"/>
      <c r="J28" s="22" t="s">
        <v>97</v>
      </c>
      <c r="K28" s="23" t="s">
        <v>461</v>
      </c>
    </row>
    <row r="29" ht="22.5" customHeight="1">
      <c r="A29" s="16" t="s">
        <v>545</v>
      </c>
      <c r="B29" s="17" t="s">
        <v>546</v>
      </c>
      <c r="C29" s="17" t="s">
        <v>547</v>
      </c>
      <c r="D29" s="54" t="s">
        <v>548</v>
      </c>
      <c r="E29" s="53" t="s">
        <v>459</v>
      </c>
      <c r="F29" s="9" t="s">
        <v>140</v>
      </c>
      <c r="G29" s="20">
        <v>45597.0</v>
      </c>
      <c r="H29" s="49"/>
      <c r="I29" s="21"/>
      <c r="J29" s="22" t="s">
        <v>97</v>
      </c>
      <c r="K29" s="23" t="s">
        <v>461</v>
      </c>
    </row>
    <row r="30" ht="22.5" customHeight="1">
      <c r="A30" s="16" t="s">
        <v>549</v>
      </c>
      <c r="B30" s="17" t="s">
        <v>550</v>
      </c>
      <c r="C30" s="17" t="s">
        <v>487</v>
      </c>
      <c r="D30" s="54" t="s">
        <v>551</v>
      </c>
      <c r="E30" s="53" t="s">
        <v>459</v>
      </c>
      <c r="F30" s="9" t="s">
        <v>140</v>
      </c>
      <c r="G30" s="20">
        <v>45597.0</v>
      </c>
      <c r="H30" s="49"/>
      <c r="I30" s="21"/>
      <c r="J30" s="22" t="s">
        <v>97</v>
      </c>
      <c r="K30" s="23" t="s">
        <v>461</v>
      </c>
    </row>
    <row r="31" ht="22.5" customHeight="1">
      <c r="A31" s="16" t="s">
        <v>552</v>
      </c>
      <c r="B31" s="17" t="s">
        <v>553</v>
      </c>
      <c r="C31" s="17" t="s">
        <v>554</v>
      </c>
      <c r="D31" s="18"/>
      <c r="E31" s="53" t="s">
        <v>459</v>
      </c>
      <c r="F31" s="9" t="s">
        <v>140</v>
      </c>
      <c r="G31" s="20">
        <v>45601.0</v>
      </c>
      <c r="H31" s="49"/>
      <c r="I31" s="21"/>
      <c r="J31" s="22" t="s">
        <v>97</v>
      </c>
      <c r="K31" s="23" t="s">
        <v>461</v>
      </c>
    </row>
    <row r="32" ht="22.5" customHeight="1">
      <c r="A32" s="16" t="s">
        <v>555</v>
      </c>
      <c r="B32" s="17" t="s">
        <v>556</v>
      </c>
      <c r="C32" s="17" t="s">
        <v>557</v>
      </c>
      <c r="D32" s="18"/>
      <c r="E32" s="53" t="s">
        <v>459</v>
      </c>
      <c r="F32" s="9" t="s">
        <v>140</v>
      </c>
      <c r="G32" s="20">
        <v>45990.0</v>
      </c>
      <c r="H32" s="49"/>
      <c r="I32" s="21"/>
      <c r="J32" s="22" t="s">
        <v>97</v>
      </c>
      <c r="K32" s="23" t="s">
        <v>461</v>
      </c>
    </row>
    <row r="33" ht="22.5" customHeight="1">
      <c r="A33" s="16" t="s">
        <v>558</v>
      </c>
      <c r="B33" s="17" t="s">
        <v>559</v>
      </c>
      <c r="C33" s="17" t="s">
        <v>560</v>
      </c>
      <c r="D33" s="54" t="s">
        <v>561</v>
      </c>
      <c r="E33" s="53" t="s">
        <v>459</v>
      </c>
      <c r="F33" s="9" t="s">
        <v>460</v>
      </c>
      <c r="G33" s="20">
        <v>45964.0</v>
      </c>
      <c r="H33" s="49"/>
      <c r="I33" s="21"/>
      <c r="J33" s="22" t="s">
        <v>562</v>
      </c>
      <c r="K33" s="23" t="s">
        <v>461</v>
      </c>
    </row>
    <row r="34" ht="22.5" customHeight="1">
      <c r="A34" s="16" t="s">
        <v>563</v>
      </c>
      <c r="B34" s="17" t="s">
        <v>564</v>
      </c>
      <c r="C34" s="17" t="s">
        <v>565</v>
      </c>
      <c r="D34" s="18"/>
      <c r="E34" s="53" t="s">
        <v>459</v>
      </c>
      <c r="F34" s="9" t="s">
        <v>460</v>
      </c>
      <c r="G34" s="20">
        <v>46050.0</v>
      </c>
      <c r="H34" s="49"/>
      <c r="I34" s="21"/>
      <c r="J34" s="22" t="s">
        <v>524</v>
      </c>
      <c r="K34" s="23" t="s">
        <v>461</v>
      </c>
    </row>
    <row r="35" ht="22.5" customHeight="1">
      <c r="A35" s="16" t="s">
        <v>566</v>
      </c>
      <c r="B35" s="17" t="s">
        <v>567</v>
      </c>
      <c r="C35" s="17" t="s">
        <v>568</v>
      </c>
      <c r="D35" s="18"/>
      <c r="E35" s="53" t="s">
        <v>459</v>
      </c>
      <c r="F35" s="9" t="s">
        <v>140</v>
      </c>
      <c r="G35" s="20">
        <v>45962.0</v>
      </c>
      <c r="H35" s="49"/>
      <c r="I35" s="21"/>
      <c r="J35" s="22" t="s">
        <v>97</v>
      </c>
      <c r="K35" s="23" t="s">
        <v>461</v>
      </c>
    </row>
    <row r="36" ht="22.5" customHeight="1">
      <c r="A36" s="16" t="s">
        <v>569</v>
      </c>
      <c r="B36" s="17" t="s">
        <v>570</v>
      </c>
      <c r="C36" s="17" t="s">
        <v>571</v>
      </c>
      <c r="D36" s="54" t="s">
        <v>572</v>
      </c>
      <c r="E36" s="53" t="s">
        <v>459</v>
      </c>
      <c r="F36" s="9" t="s">
        <v>67</v>
      </c>
      <c r="G36" s="20">
        <v>45709.0</v>
      </c>
      <c r="H36" s="49"/>
      <c r="I36" s="21"/>
      <c r="J36" s="22" t="s">
        <v>524</v>
      </c>
      <c r="K36" s="23" t="s">
        <v>461</v>
      </c>
    </row>
    <row r="37" ht="22.5" customHeight="1">
      <c r="A37" s="16" t="s">
        <v>573</v>
      </c>
      <c r="B37" s="17" t="s">
        <v>574</v>
      </c>
      <c r="C37" s="17" t="s">
        <v>575</v>
      </c>
      <c r="D37" s="54" t="s">
        <v>572</v>
      </c>
      <c r="E37" s="53" t="s">
        <v>459</v>
      </c>
      <c r="F37" s="9" t="s">
        <v>460</v>
      </c>
      <c r="G37" s="20">
        <v>45709.0</v>
      </c>
      <c r="H37" s="49"/>
      <c r="I37" s="21"/>
      <c r="J37" s="22" t="s">
        <v>524</v>
      </c>
      <c r="K37" s="23" t="s">
        <v>461</v>
      </c>
    </row>
    <row r="38" ht="22.5" customHeight="1">
      <c r="A38" s="16" t="s">
        <v>576</v>
      </c>
      <c r="B38" s="17" t="s">
        <v>577</v>
      </c>
      <c r="C38" s="17" t="s">
        <v>578</v>
      </c>
      <c r="D38" s="54" t="s">
        <v>572</v>
      </c>
      <c r="E38" s="53" t="s">
        <v>459</v>
      </c>
      <c r="F38" s="9" t="s">
        <v>460</v>
      </c>
      <c r="G38" s="20">
        <v>45709.0</v>
      </c>
      <c r="H38" s="49"/>
      <c r="I38" s="21"/>
      <c r="J38" s="22" t="s">
        <v>524</v>
      </c>
      <c r="K38" s="23" t="s">
        <v>461</v>
      </c>
    </row>
    <row r="39" ht="22.5" customHeight="1">
      <c r="A39" s="16" t="s">
        <v>579</v>
      </c>
      <c r="B39" s="17" t="s">
        <v>580</v>
      </c>
      <c r="C39" s="17" t="s">
        <v>581</v>
      </c>
      <c r="D39" s="18"/>
      <c r="E39" s="53" t="s">
        <v>459</v>
      </c>
      <c r="F39" s="9" t="s">
        <v>460</v>
      </c>
      <c r="G39" s="20">
        <v>45709.0</v>
      </c>
      <c r="H39" s="49"/>
      <c r="I39" s="21"/>
      <c r="J39" s="22" t="s">
        <v>524</v>
      </c>
      <c r="K39" s="23" t="s">
        <v>461</v>
      </c>
    </row>
    <row r="40" ht="22.5" customHeight="1">
      <c r="A40" s="16" t="s">
        <v>582</v>
      </c>
      <c r="B40" s="17" t="s">
        <v>583</v>
      </c>
      <c r="C40" s="17" t="s">
        <v>584</v>
      </c>
      <c r="D40" s="18"/>
      <c r="E40" s="53" t="s">
        <v>459</v>
      </c>
      <c r="F40" s="9" t="s">
        <v>460</v>
      </c>
      <c r="G40" s="20">
        <v>45709.0</v>
      </c>
      <c r="H40" s="49"/>
      <c r="I40" s="21"/>
      <c r="J40" s="22" t="s">
        <v>97</v>
      </c>
      <c r="K40" s="23" t="s">
        <v>461</v>
      </c>
    </row>
    <row r="41" ht="22.5" customHeight="1">
      <c r="A41" s="16" t="s">
        <v>585</v>
      </c>
      <c r="B41" s="17" t="s">
        <v>586</v>
      </c>
      <c r="C41" s="17" t="s">
        <v>494</v>
      </c>
      <c r="D41" s="18"/>
      <c r="E41" s="53" t="s">
        <v>459</v>
      </c>
      <c r="F41" s="9" t="s">
        <v>63</v>
      </c>
      <c r="G41" s="20">
        <v>45709.0</v>
      </c>
      <c r="H41" s="49"/>
      <c r="I41" s="21"/>
      <c r="J41" s="22" t="s">
        <v>524</v>
      </c>
      <c r="K41" s="23" t="s">
        <v>461</v>
      </c>
    </row>
    <row r="42" ht="22.5" customHeight="1">
      <c r="A42" s="16" t="s">
        <v>587</v>
      </c>
      <c r="B42" s="17" t="s">
        <v>588</v>
      </c>
      <c r="C42" s="17" t="s">
        <v>589</v>
      </c>
      <c r="D42" s="18"/>
      <c r="E42" s="53" t="s">
        <v>459</v>
      </c>
      <c r="F42" s="9" t="s">
        <v>460</v>
      </c>
      <c r="G42" s="20">
        <v>45826.0</v>
      </c>
      <c r="H42" s="49"/>
      <c r="I42" s="21"/>
      <c r="J42" s="22" t="s">
        <v>524</v>
      </c>
      <c r="K42" s="23" t="s">
        <v>461</v>
      </c>
    </row>
    <row r="43" ht="22.5" customHeight="1">
      <c r="A43" s="16" t="s">
        <v>590</v>
      </c>
      <c r="B43" s="17" t="s">
        <v>591</v>
      </c>
      <c r="C43" s="17" t="s">
        <v>592</v>
      </c>
      <c r="D43" s="54" t="s">
        <v>572</v>
      </c>
      <c r="E43" s="53" t="s">
        <v>459</v>
      </c>
      <c r="F43" s="9" t="s">
        <v>460</v>
      </c>
      <c r="G43" s="20">
        <v>45826.0</v>
      </c>
      <c r="H43" s="49"/>
      <c r="I43" s="21"/>
      <c r="J43" s="22" t="s">
        <v>524</v>
      </c>
      <c r="K43" s="23" t="s">
        <v>461</v>
      </c>
    </row>
    <row r="44" ht="22.5" customHeight="1">
      <c r="A44" s="16" t="s">
        <v>593</v>
      </c>
      <c r="B44" s="17" t="s">
        <v>594</v>
      </c>
      <c r="C44" s="17" t="s">
        <v>595</v>
      </c>
      <c r="D44" s="18"/>
      <c r="E44" s="53" t="s">
        <v>459</v>
      </c>
      <c r="F44" s="9" t="s">
        <v>460</v>
      </c>
      <c r="G44" s="20">
        <v>45826.0</v>
      </c>
      <c r="H44" s="49"/>
      <c r="I44" s="21"/>
      <c r="J44" s="22" t="s">
        <v>524</v>
      </c>
      <c r="K44" s="23" t="s">
        <v>461</v>
      </c>
    </row>
    <row r="45" ht="22.5" customHeight="1">
      <c r="A45" s="16" t="s">
        <v>596</v>
      </c>
      <c r="B45" s="17" t="s">
        <v>597</v>
      </c>
      <c r="C45" s="17" t="s">
        <v>598</v>
      </c>
      <c r="D45" s="18"/>
      <c r="E45" s="53" t="s">
        <v>459</v>
      </c>
      <c r="F45" s="9" t="s">
        <v>140</v>
      </c>
      <c r="G45" s="20">
        <v>45828.0</v>
      </c>
      <c r="H45" s="49"/>
      <c r="I45" s="21"/>
      <c r="J45" s="22" t="s">
        <v>524</v>
      </c>
      <c r="K45" s="23" t="s">
        <v>461</v>
      </c>
    </row>
    <row r="46" ht="22.5" customHeight="1">
      <c r="A46" s="16" t="s">
        <v>599</v>
      </c>
      <c r="B46" s="17" t="s">
        <v>600</v>
      </c>
      <c r="C46" s="17" t="s">
        <v>601</v>
      </c>
      <c r="D46" s="18"/>
      <c r="E46" s="53" t="s">
        <v>459</v>
      </c>
      <c r="F46" s="9" t="s">
        <v>460</v>
      </c>
      <c r="G46" s="20">
        <v>45840.0</v>
      </c>
      <c r="H46" s="49"/>
      <c r="I46" s="21"/>
      <c r="J46" s="22" t="s">
        <v>524</v>
      </c>
      <c r="K46" s="23" t="s">
        <v>461</v>
      </c>
    </row>
    <row r="47" ht="22.5" customHeight="1">
      <c r="A47" s="16" t="s">
        <v>602</v>
      </c>
      <c r="B47" s="17" t="s">
        <v>603</v>
      </c>
      <c r="C47" s="17" t="s">
        <v>604</v>
      </c>
      <c r="D47" s="18"/>
      <c r="E47" s="53" t="s">
        <v>459</v>
      </c>
      <c r="F47" s="9" t="s">
        <v>140</v>
      </c>
      <c r="G47" s="20">
        <v>45889.0</v>
      </c>
      <c r="H47" s="49"/>
      <c r="I47" s="21"/>
      <c r="J47" s="22" t="s">
        <v>524</v>
      </c>
      <c r="K47" s="23" t="s">
        <v>461</v>
      </c>
    </row>
    <row r="48" ht="22.5" customHeight="1">
      <c r="A48" s="16" t="s">
        <v>605</v>
      </c>
      <c r="B48" s="17" t="s">
        <v>606</v>
      </c>
      <c r="C48" s="17" t="s">
        <v>607</v>
      </c>
      <c r="D48" s="18"/>
      <c r="E48" s="53" t="s">
        <v>459</v>
      </c>
      <c r="F48" s="9" t="s">
        <v>140</v>
      </c>
      <c r="G48" s="20">
        <v>45932.0</v>
      </c>
      <c r="H48" s="49"/>
      <c r="I48" s="21"/>
      <c r="J48" s="22" t="s">
        <v>524</v>
      </c>
      <c r="K48" s="23" t="s">
        <v>461</v>
      </c>
    </row>
    <row r="49" ht="22.5" customHeight="1">
      <c r="A49" s="16" t="s">
        <v>608</v>
      </c>
      <c r="B49" s="17" t="s">
        <v>609</v>
      </c>
      <c r="C49" s="17" t="s">
        <v>610</v>
      </c>
      <c r="D49" s="18"/>
      <c r="E49" s="53" t="s">
        <v>459</v>
      </c>
      <c r="F49" s="9" t="s">
        <v>140</v>
      </c>
      <c r="G49" s="20">
        <v>45936.0</v>
      </c>
      <c r="H49" s="49"/>
      <c r="I49" s="21"/>
      <c r="J49" s="22" t="s">
        <v>524</v>
      </c>
      <c r="K49" s="23" t="s">
        <v>461</v>
      </c>
    </row>
    <row r="50" ht="22.5" customHeight="1">
      <c r="A50" s="16" t="s">
        <v>611</v>
      </c>
      <c r="B50" s="17" t="s">
        <v>612</v>
      </c>
      <c r="C50" s="17" t="s">
        <v>613</v>
      </c>
      <c r="D50" s="18"/>
      <c r="E50" s="53" t="s">
        <v>459</v>
      </c>
      <c r="F50" s="9" t="s">
        <v>140</v>
      </c>
      <c r="G50" s="20">
        <v>45936.0</v>
      </c>
      <c r="H50" s="49"/>
      <c r="I50" s="21"/>
      <c r="J50" s="22" t="s">
        <v>524</v>
      </c>
      <c r="K50" s="23" t="s">
        <v>461</v>
      </c>
    </row>
    <row r="51" ht="22.5" customHeight="1">
      <c r="A51" s="16" t="s">
        <v>614</v>
      </c>
      <c r="B51" s="17" t="s">
        <v>615</v>
      </c>
      <c r="C51" s="17" t="s">
        <v>616</v>
      </c>
      <c r="D51" s="18"/>
      <c r="E51" s="53" t="s">
        <v>459</v>
      </c>
      <c r="F51" s="9" t="s">
        <v>140</v>
      </c>
      <c r="G51" s="20">
        <v>45936.0</v>
      </c>
      <c r="H51" s="49"/>
      <c r="I51" s="21"/>
      <c r="J51" s="22" t="s">
        <v>524</v>
      </c>
      <c r="K51" s="23" t="s">
        <v>461</v>
      </c>
    </row>
    <row r="52" ht="22.5" customHeight="1">
      <c r="A52" s="16" t="s">
        <v>617</v>
      </c>
      <c r="B52" s="17" t="s">
        <v>618</v>
      </c>
      <c r="C52" s="17" t="s">
        <v>619</v>
      </c>
      <c r="D52" s="18"/>
      <c r="E52" s="53" t="s">
        <v>459</v>
      </c>
      <c r="F52" s="9" t="s">
        <v>140</v>
      </c>
      <c r="G52" s="20">
        <v>45936.0</v>
      </c>
      <c r="H52" s="49"/>
      <c r="I52" s="21"/>
      <c r="J52" s="22" t="s">
        <v>524</v>
      </c>
      <c r="K52" s="23" t="s">
        <v>461</v>
      </c>
    </row>
    <row r="53" ht="22.5" customHeight="1">
      <c r="A53" s="16" t="s">
        <v>620</v>
      </c>
      <c r="B53" s="17" t="s">
        <v>621</v>
      </c>
      <c r="C53" s="17" t="s">
        <v>622</v>
      </c>
      <c r="D53" s="18"/>
      <c r="E53" s="53" t="s">
        <v>459</v>
      </c>
      <c r="F53" s="9" t="s">
        <v>140</v>
      </c>
      <c r="G53" s="20">
        <v>45939.0</v>
      </c>
      <c r="H53" s="49"/>
      <c r="I53" s="21"/>
      <c r="J53" s="22" t="s">
        <v>524</v>
      </c>
      <c r="K53" s="23" t="s">
        <v>461</v>
      </c>
    </row>
    <row r="54" ht="22.5" customHeight="1">
      <c r="A54" s="16" t="s">
        <v>623</v>
      </c>
      <c r="B54" s="17" t="s">
        <v>624</v>
      </c>
      <c r="C54" s="17" t="s">
        <v>625</v>
      </c>
      <c r="D54" s="18"/>
      <c r="E54" s="53" t="s">
        <v>459</v>
      </c>
      <c r="F54" s="9" t="s">
        <v>140</v>
      </c>
      <c r="G54" s="20">
        <v>45939.0</v>
      </c>
      <c r="H54" s="49"/>
      <c r="I54" s="21"/>
      <c r="J54" s="22" t="s">
        <v>524</v>
      </c>
      <c r="K54" s="23" t="s">
        <v>461</v>
      </c>
    </row>
    <row r="55" ht="22.5" customHeight="1">
      <c r="A55" s="16" t="s">
        <v>626</v>
      </c>
      <c r="B55" s="17" t="s">
        <v>627</v>
      </c>
      <c r="C55" s="17" t="s">
        <v>628</v>
      </c>
      <c r="D55" s="18"/>
      <c r="E55" s="53" t="s">
        <v>459</v>
      </c>
      <c r="F55" s="9" t="s">
        <v>140</v>
      </c>
      <c r="G55" s="20">
        <v>45939.0</v>
      </c>
      <c r="H55" s="49"/>
      <c r="I55" s="21"/>
      <c r="J55" s="22" t="s">
        <v>524</v>
      </c>
      <c r="K55" s="23" t="s">
        <v>461</v>
      </c>
    </row>
    <row r="56" ht="22.5" customHeight="1">
      <c r="A56" s="16" t="s">
        <v>629</v>
      </c>
      <c r="B56" s="17" t="s">
        <v>630</v>
      </c>
      <c r="C56" s="17" t="s">
        <v>631</v>
      </c>
      <c r="D56" s="18"/>
      <c r="E56" s="53" t="s">
        <v>459</v>
      </c>
      <c r="F56" s="9" t="s">
        <v>140</v>
      </c>
      <c r="G56" s="20">
        <v>45670.0</v>
      </c>
      <c r="H56" s="49"/>
      <c r="I56" s="21"/>
      <c r="J56" s="22" t="s">
        <v>524</v>
      </c>
      <c r="K56" s="23" t="s">
        <v>461</v>
      </c>
    </row>
    <row r="57" ht="22.5" customHeight="1">
      <c r="A57" s="16" t="s">
        <v>632</v>
      </c>
      <c r="B57" s="17" t="s">
        <v>633</v>
      </c>
      <c r="C57" s="17" t="s">
        <v>634</v>
      </c>
      <c r="D57" s="18"/>
      <c r="E57" s="53" t="s">
        <v>459</v>
      </c>
      <c r="F57" s="9" t="s">
        <v>140</v>
      </c>
      <c r="G57" s="20">
        <v>45670.0</v>
      </c>
      <c r="H57" s="49"/>
      <c r="I57" s="21"/>
      <c r="J57" s="22" t="s">
        <v>524</v>
      </c>
      <c r="K57" s="23" t="s">
        <v>461</v>
      </c>
    </row>
    <row r="58" ht="22.5" customHeight="1">
      <c r="A58" s="16" t="s">
        <v>635</v>
      </c>
      <c r="B58" s="17" t="s">
        <v>636</v>
      </c>
      <c r="C58" s="17" t="s">
        <v>637</v>
      </c>
      <c r="D58" s="18"/>
      <c r="E58" s="53" t="s">
        <v>459</v>
      </c>
      <c r="F58" s="9" t="s">
        <v>140</v>
      </c>
      <c r="G58" s="20">
        <v>45685.0</v>
      </c>
      <c r="H58" s="49"/>
      <c r="I58" s="21"/>
      <c r="J58" s="22" t="s">
        <v>524</v>
      </c>
      <c r="K58" s="23" t="s">
        <v>461</v>
      </c>
    </row>
    <row r="59" ht="22.5" customHeight="1">
      <c r="A59" s="16" t="s">
        <v>638</v>
      </c>
      <c r="B59" s="17" t="s">
        <v>639</v>
      </c>
      <c r="C59" s="17" t="s">
        <v>640</v>
      </c>
      <c r="D59" s="18"/>
      <c r="E59" s="53" t="s">
        <v>459</v>
      </c>
      <c r="F59" s="9" t="s">
        <v>140</v>
      </c>
      <c r="G59" s="20">
        <v>46050.0</v>
      </c>
      <c r="H59" s="49"/>
      <c r="I59" s="21"/>
      <c r="J59" s="22" t="s">
        <v>524</v>
      </c>
      <c r="K59" s="23" t="s">
        <v>461</v>
      </c>
    </row>
    <row r="60" ht="22.5" customHeight="1">
      <c r="A60" s="16" t="s">
        <v>641</v>
      </c>
      <c r="B60" s="17" t="s">
        <v>642</v>
      </c>
      <c r="C60" s="17" t="s">
        <v>643</v>
      </c>
      <c r="D60" s="18"/>
      <c r="E60" s="53" t="s">
        <v>459</v>
      </c>
      <c r="F60" s="9" t="s">
        <v>140</v>
      </c>
      <c r="G60" s="20">
        <v>45803.0</v>
      </c>
      <c r="H60" s="49"/>
      <c r="I60" s="21"/>
      <c r="J60" s="22" t="s">
        <v>524</v>
      </c>
      <c r="K60" s="23" t="s">
        <v>461</v>
      </c>
    </row>
    <row r="61" ht="22.5" customHeight="1">
      <c r="A61" s="16" t="s">
        <v>644</v>
      </c>
      <c r="B61" s="17" t="s">
        <v>645</v>
      </c>
      <c r="C61" s="17" t="s">
        <v>646</v>
      </c>
      <c r="D61" s="18"/>
      <c r="E61" s="53" t="s">
        <v>459</v>
      </c>
      <c r="F61" s="9" t="s">
        <v>140</v>
      </c>
      <c r="G61" s="20">
        <v>46008.0</v>
      </c>
      <c r="H61" s="49"/>
      <c r="I61" s="21"/>
      <c r="J61" s="22" t="s">
        <v>524</v>
      </c>
      <c r="K61" s="23" t="s">
        <v>461</v>
      </c>
    </row>
    <row r="62" ht="22.5" customHeight="1">
      <c r="A62" s="16" t="s">
        <v>647</v>
      </c>
      <c r="B62" s="17"/>
      <c r="C62" s="17"/>
      <c r="D62" s="18"/>
      <c r="E62" s="53" t="s">
        <v>459</v>
      </c>
      <c r="F62" s="9"/>
      <c r="G62" s="20"/>
      <c r="H62" s="49"/>
      <c r="I62" s="21"/>
      <c r="J62" s="22"/>
      <c r="K62" s="23" t="s">
        <v>461</v>
      </c>
    </row>
    <row r="63" ht="22.5" customHeight="1">
      <c r="A63" s="16" t="s">
        <v>648</v>
      </c>
      <c r="B63" s="17"/>
      <c r="C63" s="17"/>
      <c r="D63" s="18"/>
      <c r="E63" s="53" t="s">
        <v>459</v>
      </c>
      <c r="F63" s="9"/>
      <c r="G63" s="20"/>
      <c r="H63" s="49"/>
      <c r="I63" s="21"/>
      <c r="J63" s="22"/>
      <c r="K63" s="23" t="s">
        <v>461</v>
      </c>
    </row>
    <row r="64" ht="22.5" customHeight="1">
      <c r="A64" s="16" t="s">
        <v>649</v>
      </c>
      <c r="B64" s="17"/>
      <c r="C64" s="17"/>
      <c r="D64" s="18"/>
      <c r="E64" s="53" t="s">
        <v>459</v>
      </c>
      <c r="F64" s="9"/>
      <c r="G64" s="20"/>
      <c r="H64" s="49"/>
      <c r="I64" s="21"/>
      <c r="J64" s="22"/>
      <c r="K64" s="23" t="s">
        <v>461</v>
      </c>
    </row>
    <row r="65" ht="22.5" customHeight="1">
      <c r="A65" s="16" t="s">
        <v>650</v>
      </c>
      <c r="B65" s="17"/>
      <c r="C65" s="17"/>
      <c r="D65" s="18"/>
      <c r="E65" s="53" t="s">
        <v>459</v>
      </c>
      <c r="F65" s="9"/>
      <c r="G65" s="20"/>
      <c r="H65" s="49"/>
      <c r="I65" s="21"/>
      <c r="J65" s="22"/>
      <c r="K65" s="23" t="s">
        <v>461</v>
      </c>
    </row>
    <row r="66" ht="22.5" customHeight="1">
      <c r="A66" s="16" t="s">
        <v>651</v>
      </c>
      <c r="B66" s="17"/>
      <c r="C66" s="17"/>
      <c r="D66" s="18"/>
      <c r="E66" s="53" t="s">
        <v>459</v>
      </c>
      <c r="F66" s="9"/>
      <c r="G66" s="20"/>
      <c r="H66" s="49"/>
      <c r="I66" s="21"/>
      <c r="J66" s="22"/>
      <c r="K66" s="23" t="s">
        <v>461</v>
      </c>
    </row>
    <row r="67" ht="22.5" customHeight="1">
      <c r="A67" s="16" t="s">
        <v>652</v>
      </c>
      <c r="B67" s="17"/>
      <c r="C67" s="17"/>
      <c r="D67" s="18"/>
      <c r="E67" s="53" t="s">
        <v>459</v>
      </c>
      <c r="F67" s="9"/>
      <c r="G67" s="20"/>
      <c r="H67" s="49"/>
      <c r="I67" s="21"/>
      <c r="J67" s="22"/>
      <c r="K67" s="23" t="s">
        <v>461</v>
      </c>
    </row>
    <row r="68" ht="22.5" customHeight="1">
      <c r="A68" s="16" t="s">
        <v>653</v>
      </c>
      <c r="B68" s="17"/>
      <c r="C68" s="17"/>
      <c r="D68" s="18"/>
      <c r="E68" s="53" t="s">
        <v>459</v>
      </c>
      <c r="F68" s="9"/>
      <c r="G68" s="20"/>
      <c r="H68" s="49"/>
      <c r="I68" s="21"/>
      <c r="J68" s="22"/>
      <c r="K68" s="23" t="s">
        <v>461</v>
      </c>
    </row>
    <row r="69" ht="22.5" customHeight="1">
      <c r="A69" s="16" t="s">
        <v>654</v>
      </c>
      <c r="B69" s="17"/>
      <c r="C69" s="17"/>
      <c r="D69" s="18"/>
      <c r="E69" s="53" t="s">
        <v>459</v>
      </c>
      <c r="F69" s="9"/>
      <c r="G69" s="20"/>
      <c r="H69" s="49"/>
      <c r="I69" s="21"/>
      <c r="J69" s="22"/>
      <c r="K69" s="23" t="s">
        <v>461</v>
      </c>
    </row>
    <row r="70" ht="22.5" customHeight="1">
      <c r="A70" s="16" t="s">
        <v>655</v>
      </c>
      <c r="B70" s="17"/>
      <c r="C70" s="17"/>
      <c r="D70" s="18"/>
      <c r="E70" s="53" t="s">
        <v>459</v>
      </c>
      <c r="F70" s="9"/>
      <c r="G70" s="20"/>
      <c r="H70" s="49"/>
      <c r="I70" s="21"/>
      <c r="J70" s="22"/>
      <c r="K70" s="23" t="s">
        <v>461</v>
      </c>
    </row>
    <row r="71" ht="22.5" customHeight="1">
      <c r="A71" s="16" t="s">
        <v>656</v>
      </c>
      <c r="B71" s="17"/>
      <c r="C71" s="17"/>
      <c r="D71" s="18"/>
      <c r="E71" s="53" t="s">
        <v>459</v>
      </c>
      <c r="F71" s="9"/>
      <c r="G71" s="20"/>
      <c r="H71" s="49"/>
      <c r="I71" s="21"/>
      <c r="J71" s="22"/>
      <c r="K71" s="23" t="s">
        <v>461</v>
      </c>
    </row>
    <row r="72" ht="22.5" customHeight="1">
      <c r="A72" s="16" t="s">
        <v>657</v>
      </c>
      <c r="B72" s="17"/>
      <c r="C72" s="17"/>
      <c r="D72" s="18"/>
      <c r="E72" s="53" t="s">
        <v>459</v>
      </c>
      <c r="F72" s="9"/>
      <c r="G72" s="20"/>
      <c r="H72" s="49"/>
      <c r="I72" s="21"/>
      <c r="J72" s="22"/>
      <c r="K72" s="23" t="s">
        <v>461</v>
      </c>
    </row>
    <row r="73" ht="22.5" customHeight="1">
      <c r="A73" s="16" t="s">
        <v>658</v>
      </c>
      <c r="B73" s="17"/>
      <c r="C73" s="17"/>
      <c r="D73" s="18"/>
      <c r="E73" s="53" t="s">
        <v>459</v>
      </c>
      <c r="F73" s="9"/>
      <c r="G73" s="20"/>
      <c r="H73" s="49"/>
      <c r="I73" s="21"/>
      <c r="J73" s="22"/>
      <c r="K73" s="23" t="s">
        <v>461</v>
      </c>
    </row>
    <row r="74" ht="22.5" customHeight="1">
      <c r="A74" s="16" t="s">
        <v>659</v>
      </c>
      <c r="B74" s="17"/>
      <c r="C74" s="17"/>
      <c r="D74" s="18"/>
      <c r="E74" s="53" t="s">
        <v>459</v>
      </c>
      <c r="F74" s="9"/>
      <c r="G74" s="20"/>
      <c r="H74" s="49"/>
      <c r="I74" s="21"/>
      <c r="J74" s="22"/>
      <c r="K74" s="23" t="s">
        <v>461</v>
      </c>
    </row>
    <row r="75" ht="22.5" customHeight="1">
      <c r="A75" s="16" t="s">
        <v>660</v>
      </c>
      <c r="B75" s="17"/>
      <c r="C75" s="17"/>
      <c r="D75" s="18"/>
      <c r="E75" s="53" t="s">
        <v>459</v>
      </c>
      <c r="F75" s="9"/>
      <c r="G75" s="20"/>
      <c r="H75" s="49"/>
      <c r="I75" s="21"/>
      <c r="J75" s="22"/>
      <c r="K75" s="23" t="s">
        <v>461</v>
      </c>
    </row>
    <row r="76" ht="22.5" customHeight="1">
      <c r="A76" s="16" t="s">
        <v>661</v>
      </c>
      <c r="B76" s="17"/>
      <c r="C76" s="17"/>
      <c r="D76" s="18"/>
      <c r="E76" s="53" t="s">
        <v>459</v>
      </c>
      <c r="F76" s="9"/>
      <c r="G76" s="20"/>
      <c r="H76" s="49"/>
      <c r="I76" s="21"/>
      <c r="J76" s="22"/>
      <c r="K76" s="23" t="s">
        <v>461</v>
      </c>
    </row>
    <row r="77" ht="22.5" customHeight="1">
      <c r="A77" s="16" t="s">
        <v>662</v>
      </c>
      <c r="B77" s="17"/>
      <c r="C77" s="17"/>
      <c r="D77" s="18"/>
      <c r="E77" s="53" t="s">
        <v>459</v>
      </c>
      <c r="F77" s="9"/>
      <c r="G77" s="20"/>
      <c r="H77" s="49"/>
      <c r="I77" s="21"/>
      <c r="J77" s="22"/>
      <c r="K77" s="23" t="s">
        <v>461</v>
      </c>
    </row>
    <row r="78" ht="22.5" customHeight="1">
      <c r="A78" s="16" t="s">
        <v>663</v>
      </c>
      <c r="B78" s="17"/>
      <c r="C78" s="17"/>
      <c r="D78" s="18"/>
      <c r="E78" s="53" t="s">
        <v>459</v>
      </c>
      <c r="F78" s="9"/>
      <c r="G78" s="20"/>
      <c r="H78" s="49"/>
      <c r="I78" s="21"/>
      <c r="J78" s="22"/>
      <c r="K78" s="23" t="s">
        <v>461</v>
      </c>
    </row>
    <row r="79" ht="22.5" customHeight="1">
      <c r="A79" s="16" t="s">
        <v>664</v>
      </c>
      <c r="B79" s="17"/>
      <c r="C79" s="17"/>
      <c r="D79" s="18"/>
      <c r="E79" s="53" t="s">
        <v>459</v>
      </c>
      <c r="F79" s="9"/>
      <c r="G79" s="20"/>
      <c r="H79" s="49"/>
      <c r="I79" s="21"/>
      <c r="J79" s="22"/>
      <c r="K79" s="23" t="s">
        <v>461</v>
      </c>
    </row>
    <row r="80" ht="22.5" customHeight="1">
      <c r="A80" s="16" t="s">
        <v>665</v>
      </c>
      <c r="B80" s="17"/>
      <c r="C80" s="17"/>
      <c r="D80" s="18"/>
      <c r="E80" s="53" t="s">
        <v>459</v>
      </c>
      <c r="F80" s="9"/>
      <c r="G80" s="20"/>
      <c r="H80" s="49"/>
      <c r="I80" s="21"/>
      <c r="J80" s="22"/>
      <c r="K80" s="23" t="s">
        <v>461</v>
      </c>
    </row>
  </sheetData>
  <dataValidations>
    <dataValidation type="list" allowBlank="1" sqref="F2:F80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80">
      <formula1>OR(NOT(ISERROR(DATEVALUE(G2))), AND(ISNUMBER(G2), LEFT(CELL("format", G2))="D"))</formula1>
    </dataValidation>
    <dataValidation type="custom" allowBlank="1" showDropDown="1" sqref="H2:I80">
      <formula1>AND(ISNUMBER(H2),(NOT(OR(NOT(ISERROR(DATEVALUE(H2))), AND(ISNUMBER(H2), LEFT(CELL("format", H2))="D")))))</formula1>
    </dataValidation>
    <dataValidation type="list" allowBlank="1" sqref="J2:J80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80 E2:E80 K2:K80"/>
  </dataValidations>
  <hyperlinks>
    <hyperlink r:id="rId1" ref="D26"/>
    <hyperlink r:id="rId2" ref="D27"/>
    <hyperlink r:id="rId3" ref="D28"/>
    <hyperlink r:id="rId4" ref="D29"/>
    <hyperlink r:id="rId5" ref="D30"/>
    <hyperlink r:id="rId6" ref="D33"/>
    <hyperlink r:id="rId7" ref="D36"/>
    <hyperlink r:id="rId8" ref="D37"/>
    <hyperlink r:id="rId9" ref="D38"/>
    <hyperlink r:id="rId10" ref="D4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1"/>
  <tableParts count="1"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5.38"/>
    <col customWidth="1" min="3" max="3" width="20.63"/>
    <col customWidth="1" min="4" max="4" width="18.88"/>
    <col customWidth="1" min="5" max="5" width="30.88"/>
    <col customWidth="1" min="6" max="6" width="37.75"/>
    <col customWidth="1" min="7" max="7" width="27.38"/>
    <col customWidth="1" min="8" max="8" width="24.75"/>
    <col customWidth="1" min="9" max="9" width="25.13"/>
    <col customWidth="1" min="10" max="10" width="28.63"/>
    <col customWidth="1" min="11" max="11" width="23.25"/>
  </cols>
  <sheetData>
    <row r="1" ht="22.5" customHeight="1">
      <c r="A1" s="14" t="s">
        <v>23</v>
      </c>
      <c r="B1" s="14" t="s">
        <v>24</v>
      </c>
      <c r="C1" s="14" t="s">
        <v>25</v>
      </c>
      <c r="D1" s="14" t="s">
        <v>26</v>
      </c>
      <c r="E1" s="14" t="s">
        <v>27</v>
      </c>
      <c r="F1" s="14" t="s">
        <v>28</v>
      </c>
      <c r="G1" s="14" t="s">
        <v>29</v>
      </c>
      <c r="H1" s="14" t="s">
        <v>30</v>
      </c>
      <c r="I1" s="14" t="s">
        <v>31</v>
      </c>
      <c r="J1" s="14" t="s">
        <v>32</v>
      </c>
      <c r="K1" s="14" t="s">
        <v>33</v>
      </c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ht="21.0" customHeight="1">
      <c r="A2" s="16" t="s">
        <v>492</v>
      </c>
      <c r="B2" s="55" t="s">
        <v>666</v>
      </c>
      <c r="C2" s="23" t="s">
        <v>667</v>
      </c>
      <c r="D2" s="56"/>
      <c r="E2" s="56"/>
      <c r="F2" s="57" t="s">
        <v>491</v>
      </c>
      <c r="G2" s="58">
        <v>46003.0</v>
      </c>
      <c r="H2" s="59">
        <v>434687.97</v>
      </c>
      <c r="I2" s="60"/>
      <c r="J2" s="61" t="s">
        <v>48</v>
      </c>
      <c r="K2" s="62" t="s">
        <v>668</v>
      </c>
    </row>
    <row r="3" ht="21.0" customHeight="1">
      <c r="A3" s="16" t="s">
        <v>495</v>
      </c>
      <c r="B3" s="63" t="s">
        <v>669</v>
      </c>
      <c r="C3" s="62" t="s">
        <v>670</v>
      </c>
      <c r="D3" s="56"/>
      <c r="E3" s="56"/>
      <c r="F3" s="57" t="s">
        <v>671</v>
      </c>
      <c r="G3" s="64">
        <v>45951.0</v>
      </c>
      <c r="H3" s="59">
        <v>380000.0</v>
      </c>
      <c r="I3" s="60"/>
      <c r="J3" s="65" t="s">
        <v>97</v>
      </c>
      <c r="K3" s="62" t="s">
        <v>668</v>
      </c>
    </row>
    <row r="4" ht="22.5" customHeight="1">
      <c r="A4" s="16" t="s">
        <v>499</v>
      </c>
      <c r="B4" s="66" t="s">
        <v>672</v>
      </c>
      <c r="C4" s="67" t="s">
        <v>673</v>
      </c>
      <c r="D4" s="68"/>
      <c r="E4" s="56"/>
      <c r="F4" s="69" t="s">
        <v>671</v>
      </c>
      <c r="G4" s="70">
        <v>45951.0</v>
      </c>
      <c r="H4" s="71">
        <v>280000.0</v>
      </c>
      <c r="I4" s="72"/>
      <c r="J4" s="73" t="s">
        <v>48</v>
      </c>
      <c r="K4" s="67" t="s">
        <v>668</v>
      </c>
    </row>
    <row r="5" ht="22.5" customHeight="1">
      <c r="A5" s="16" t="s">
        <v>502</v>
      </c>
      <c r="B5" s="66" t="s">
        <v>674</v>
      </c>
      <c r="C5" s="67" t="s">
        <v>675</v>
      </c>
      <c r="D5" s="68"/>
      <c r="E5" s="56"/>
      <c r="F5" s="74" t="s">
        <v>671</v>
      </c>
      <c r="G5" s="70">
        <v>45954.0</v>
      </c>
      <c r="H5" s="71">
        <v>380000.0</v>
      </c>
      <c r="I5" s="72"/>
      <c r="J5" s="75" t="s">
        <v>676</v>
      </c>
      <c r="K5" s="67" t="s">
        <v>668</v>
      </c>
    </row>
    <row r="6" ht="22.5" customHeight="1">
      <c r="A6" s="16" t="s">
        <v>505</v>
      </c>
      <c r="B6" s="66" t="s">
        <v>677</v>
      </c>
      <c r="C6" s="67" t="s">
        <v>678</v>
      </c>
      <c r="D6" s="68"/>
      <c r="E6" s="56"/>
      <c r="F6" s="74" t="s">
        <v>671</v>
      </c>
      <c r="G6" s="70">
        <v>45897.0</v>
      </c>
      <c r="H6" s="71">
        <v>130000.0</v>
      </c>
      <c r="I6" s="72"/>
      <c r="J6" s="76" t="s">
        <v>97</v>
      </c>
      <c r="K6" s="67" t="s">
        <v>668</v>
      </c>
    </row>
    <row r="7" ht="22.5" customHeight="1">
      <c r="A7" s="16" t="s">
        <v>508</v>
      </c>
      <c r="B7" s="63" t="s">
        <v>679</v>
      </c>
      <c r="C7" s="62" t="s">
        <v>680</v>
      </c>
      <c r="D7" s="56"/>
      <c r="E7" s="56"/>
      <c r="F7" s="77" t="s">
        <v>460</v>
      </c>
      <c r="G7" s="78"/>
      <c r="H7" s="59">
        <v>380000.0</v>
      </c>
      <c r="I7" s="60"/>
      <c r="J7" s="79" t="s">
        <v>48</v>
      </c>
      <c r="K7" s="62" t="s">
        <v>668</v>
      </c>
    </row>
    <row r="8" ht="22.5" customHeight="1">
      <c r="A8" s="16" t="s">
        <v>511</v>
      </c>
      <c r="B8" s="63" t="s">
        <v>681</v>
      </c>
      <c r="C8" s="62" t="s">
        <v>682</v>
      </c>
      <c r="D8" s="56"/>
      <c r="E8" s="56"/>
      <c r="F8" s="80" t="s">
        <v>460</v>
      </c>
      <c r="G8" s="64">
        <v>45989.0</v>
      </c>
      <c r="H8" s="59">
        <v>380000.0</v>
      </c>
      <c r="I8" s="60"/>
      <c r="J8" s="65" t="s">
        <v>97</v>
      </c>
      <c r="K8" s="62" t="s">
        <v>668</v>
      </c>
    </row>
    <row r="9" ht="22.5" customHeight="1">
      <c r="A9" s="16" t="s">
        <v>514</v>
      </c>
      <c r="B9" s="66" t="s">
        <v>683</v>
      </c>
      <c r="C9" s="67" t="s">
        <v>684</v>
      </c>
      <c r="D9" s="68"/>
      <c r="E9" s="56"/>
      <c r="F9" s="81" t="s">
        <v>460</v>
      </c>
      <c r="G9" s="70">
        <v>45989.0</v>
      </c>
      <c r="H9" s="71">
        <v>150000.0</v>
      </c>
      <c r="I9" s="72"/>
      <c r="J9" s="76" t="s">
        <v>97</v>
      </c>
      <c r="K9" s="67" t="s">
        <v>668</v>
      </c>
    </row>
    <row r="10" ht="22.5" customHeight="1">
      <c r="A10" s="16" t="s">
        <v>517</v>
      </c>
      <c r="B10" s="62" t="s">
        <v>685</v>
      </c>
      <c r="C10" s="62" t="s">
        <v>686</v>
      </c>
      <c r="D10" s="56"/>
      <c r="E10" s="56"/>
      <c r="F10" s="80" t="s">
        <v>460</v>
      </c>
      <c r="G10" s="64">
        <v>46361.0</v>
      </c>
      <c r="H10" s="59">
        <v>150000.0</v>
      </c>
      <c r="I10" s="60"/>
      <c r="J10" s="50" t="s">
        <v>48</v>
      </c>
      <c r="K10" s="62" t="s">
        <v>668</v>
      </c>
    </row>
    <row r="11" ht="22.5" customHeight="1">
      <c r="A11" s="16" t="s">
        <v>525</v>
      </c>
      <c r="B11" s="66" t="s">
        <v>687</v>
      </c>
      <c r="C11" s="67" t="s">
        <v>688</v>
      </c>
      <c r="D11" s="68"/>
      <c r="E11" s="56"/>
      <c r="F11" s="81" t="s">
        <v>460</v>
      </c>
      <c r="G11" s="70">
        <v>46014.0</v>
      </c>
      <c r="H11" s="71">
        <v>380000.0</v>
      </c>
      <c r="I11" s="72"/>
      <c r="J11" s="76" t="s">
        <v>97</v>
      </c>
      <c r="K11" s="67" t="s">
        <v>668</v>
      </c>
    </row>
    <row r="12" ht="22.5" customHeight="1">
      <c r="A12" s="16" t="s">
        <v>528</v>
      </c>
      <c r="B12" s="66" t="s">
        <v>689</v>
      </c>
      <c r="C12" s="67" t="s">
        <v>690</v>
      </c>
      <c r="D12" s="68"/>
      <c r="E12" s="56"/>
      <c r="F12" s="69" t="s">
        <v>691</v>
      </c>
      <c r="G12" s="70">
        <v>46020.0</v>
      </c>
      <c r="H12" s="71">
        <v>150000.0</v>
      </c>
      <c r="I12" s="72"/>
      <c r="J12" s="76" t="s">
        <v>97</v>
      </c>
      <c r="K12" s="67" t="s">
        <v>668</v>
      </c>
    </row>
    <row r="13" ht="22.5" customHeight="1">
      <c r="A13" s="16" t="s">
        <v>531</v>
      </c>
      <c r="B13" s="63" t="s">
        <v>692</v>
      </c>
      <c r="C13" s="62" t="s">
        <v>693</v>
      </c>
      <c r="D13" s="56"/>
      <c r="E13" s="56"/>
      <c r="F13" s="80" t="s">
        <v>460</v>
      </c>
      <c r="G13" s="64">
        <v>46012.0</v>
      </c>
      <c r="H13" s="59">
        <v>100000.0</v>
      </c>
      <c r="I13" s="60"/>
      <c r="J13" s="50" t="s">
        <v>48</v>
      </c>
      <c r="K13" s="62" t="s">
        <v>668</v>
      </c>
    </row>
    <row r="14" ht="22.5" customHeight="1">
      <c r="A14" s="16" t="s">
        <v>534</v>
      </c>
      <c r="B14" s="66" t="s">
        <v>694</v>
      </c>
      <c r="C14" s="67" t="s">
        <v>695</v>
      </c>
      <c r="D14" s="68"/>
      <c r="E14" s="56"/>
      <c r="F14" s="82" t="s">
        <v>63</v>
      </c>
      <c r="G14" s="83"/>
      <c r="H14" s="71">
        <v>150000.0</v>
      </c>
      <c r="I14" s="72"/>
      <c r="J14" s="76" t="s">
        <v>97</v>
      </c>
      <c r="K14" s="67" t="s">
        <v>668</v>
      </c>
    </row>
    <row r="15" ht="22.5" customHeight="1">
      <c r="A15" s="16" t="s">
        <v>538</v>
      </c>
      <c r="B15" s="84" t="s">
        <v>696</v>
      </c>
      <c r="C15" s="67" t="s">
        <v>697</v>
      </c>
      <c r="D15" s="68"/>
      <c r="E15" s="56"/>
      <c r="F15" s="69" t="s">
        <v>140</v>
      </c>
      <c r="G15" s="70">
        <v>46027.0</v>
      </c>
      <c r="H15" s="71">
        <v>380000.0</v>
      </c>
      <c r="I15" s="72"/>
      <c r="J15" s="76" t="s">
        <v>97</v>
      </c>
      <c r="K15" s="67" t="s">
        <v>668</v>
      </c>
    </row>
    <row r="16" ht="22.5" customHeight="1">
      <c r="A16" s="16" t="s">
        <v>542</v>
      </c>
      <c r="B16" s="63" t="s">
        <v>698</v>
      </c>
      <c r="C16" s="62" t="s">
        <v>699</v>
      </c>
      <c r="D16" s="56"/>
      <c r="E16" s="56"/>
      <c r="F16" s="57" t="s">
        <v>671</v>
      </c>
      <c r="G16" s="78"/>
      <c r="H16" s="59">
        <v>760000.0</v>
      </c>
      <c r="I16" s="60"/>
      <c r="J16" s="50" t="s">
        <v>48</v>
      </c>
      <c r="K16" s="62" t="s">
        <v>668</v>
      </c>
    </row>
    <row r="17" ht="22.5" customHeight="1">
      <c r="A17" s="16" t="s">
        <v>545</v>
      </c>
      <c r="B17" s="62" t="s">
        <v>700</v>
      </c>
      <c r="C17" s="62" t="s">
        <v>701</v>
      </c>
      <c r="D17" s="56"/>
      <c r="E17" s="56"/>
      <c r="F17" s="57" t="s">
        <v>47</v>
      </c>
      <c r="G17" s="85">
        <v>45995.0</v>
      </c>
      <c r="H17" s="59">
        <v>380000.0</v>
      </c>
      <c r="I17" s="60"/>
      <c r="J17" s="50" t="s">
        <v>48</v>
      </c>
      <c r="K17" s="62" t="s">
        <v>668</v>
      </c>
    </row>
    <row r="18" ht="22.5" customHeight="1">
      <c r="A18" s="16" t="s">
        <v>549</v>
      </c>
      <c r="B18" s="17" t="s">
        <v>702</v>
      </c>
      <c r="C18" s="23" t="s">
        <v>703</v>
      </c>
      <c r="D18" s="18"/>
      <c r="E18" s="56"/>
      <c r="F18" s="9" t="s">
        <v>67</v>
      </c>
      <c r="G18" s="20">
        <v>45931.0</v>
      </c>
      <c r="H18" s="11">
        <v>932975.55</v>
      </c>
      <c r="I18" s="21"/>
      <c r="J18" s="76" t="s">
        <v>97</v>
      </c>
      <c r="K18" s="62" t="s">
        <v>668</v>
      </c>
    </row>
    <row r="19" ht="22.5" customHeight="1">
      <c r="A19" s="16" t="s">
        <v>552</v>
      </c>
      <c r="B19" s="17" t="s">
        <v>704</v>
      </c>
      <c r="C19" s="17" t="s">
        <v>705</v>
      </c>
      <c r="D19" s="18"/>
      <c r="E19" s="19"/>
      <c r="F19" s="9" t="s">
        <v>55</v>
      </c>
      <c r="G19" s="20"/>
      <c r="H19" s="11"/>
      <c r="I19" s="21"/>
      <c r="J19" s="22" t="s">
        <v>524</v>
      </c>
      <c r="K19" s="62" t="s">
        <v>668</v>
      </c>
    </row>
    <row r="20" ht="22.5" customHeight="1">
      <c r="A20" s="16" t="s">
        <v>555</v>
      </c>
      <c r="B20" s="17" t="s">
        <v>706</v>
      </c>
      <c r="C20" s="62" t="s">
        <v>707</v>
      </c>
      <c r="D20" s="18"/>
      <c r="E20" s="19"/>
      <c r="F20" s="9" t="s">
        <v>691</v>
      </c>
      <c r="G20" s="20">
        <v>45992.0</v>
      </c>
      <c r="H20" s="11">
        <v>129207.59</v>
      </c>
      <c r="I20" s="21"/>
      <c r="J20" s="50" t="s">
        <v>48</v>
      </c>
      <c r="K20" s="62" t="s">
        <v>668</v>
      </c>
    </row>
    <row r="21" ht="22.5" customHeight="1">
      <c r="A21" s="16" t="s">
        <v>558</v>
      </c>
      <c r="B21" s="17" t="s">
        <v>708</v>
      </c>
      <c r="C21" s="62" t="s">
        <v>709</v>
      </c>
      <c r="D21" s="18"/>
      <c r="E21" s="19"/>
      <c r="F21" s="9" t="s">
        <v>691</v>
      </c>
      <c r="G21" s="20">
        <v>45988.0</v>
      </c>
      <c r="H21" s="11">
        <v>16756.24</v>
      </c>
      <c r="I21" s="21"/>
      <c r="J21" s="22" t="s">
        <v>710</v>
      </c>
      <c r="K21" s="62" t="s">
        <v>668</v>
      </c>
    </row>
    <row r="22" ht="22.5" customHeight="1">
      <c r="A22" s="16" t="s">
        <v>563</v>
      </c>
      <c r="B22" s="17" t="s">
        <v>711</v>
      </c>
      <c r="C22" s="62" t="s">
        <v>712</v>
      </c>
      <c r="D22" s="18"/>
      <c r="E22" s="19"/>
      <c r="F22" s="9" t="s">
        <v>691</v>
      </c>
      <c r="G22" s="20">
        <v>45985.0</v>
      </c>
      <c r="H22" s="11">
        <v>17635.48</v>
      </c>
      <c r="I22" s="21"/>
      <c r="J22" s="22" t="s">
        <v>562</v>
      </c>
      <c r="K22" s="62" t="s">
        <v>668</v>
      </c>
    </row>
    <row r="23" ht="22.5" customHeight="1">
      <c r="A23" s="16" t="s">
        <v>566</v>
      </c>
      <c r="B23" s="17" t="s">
        <v>713</v>
      </c>
      <c r="C23" s="62" t="s">
        <v>714</v>
      </c>
      <c r="D23" s="18"/>
      <c r="E23" s="19"/>
      <c r="F23" s="9" t="s">
        <v>691</v>
      </c>
      <c r="G23" s="20">
        <v>45992.0</v>
      </c>
      <c r="H23" s="11">
        <v>1599.25</v>
      </c>
      <c r="I23" s="21"/>
      <c r="J23" s="22" t="s">
        <v>562</v>
      </c>
      <c r="K23" s="62" t="s">
        <v>668</v>
      </c>
    </row>
    <row r="24" ht="22.5" customHeight="1">
      <c r="A24" s="16" t="s">
        <v>569</v>
      </c>
      <c r="B24" s="17" t="s">
        <v>715</v>
      </c>
      <c r="C24" s="62" t="s">
        <v>714</v>
      </c>
      <c r="D24" s="18"/>
      <c r="E24" s="19"/>
      <c r="F24" s="9" t="s">
        <v>691</v>
      </c>
      <c r="G24" s="20">
        <v>46030.0</v>
      </c>
      <c r="H24" s="11">
        <v>2015.57</v>
      </c>
      <c r="I24" s="21"/>
      <c r="J24" s="22" t="s">
        <v>562</v>
      </c>
      <c r="K24" s="62" t="s">
        <v>668</v>
      </c>
    </row>
  </sheetData>
  <dataValidations>
    <dataValidation type="list" allowBlank="1" sqref="F2:F24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4">
      <formula1>OR(NOT(ISERROR(DATEVALUE(G2))), AND(ISNUMBER(G2), LEFT(CELL("format", G2))="D"))</formula1>
    </dataValidation>
    <dataValidation type="custom" allowBlank="1" showDropDown="1" sqref="H2:I24">
      <formula1>AND(ISNUMBER(H2),(NOT(OR(NOT(ISERROR(DATEVALUE(H2))), AND(ISNUMBER(H2), LEFT(CELL("format", H2))="D")))))</formula1>
    </dataValidation>
    <dataValidation type="list" allowBlank="1" sqref="J2:J24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4 E2:E24 K2:K24"/>
  </dataValidations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1"/>
    <hyperlink r:id="rId10" ref="B12"/>
    <hyperlink r:id="rId11" ref="B13"/>
    <hyperlink r:id="rId12" ref="B14"/>
    <hyperlink r:id="rId13" ref="B16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4"/>
  <tableParts count="1">
    <tablePart r:id="rId1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5.38"/>
    <col customWidth="1" min="3" max="3" width="22.63"/>
    <col customWidth="1" min="4" max="4" width="25.0"/>
    <col customWidth="1" min="5" max="5" width="20.0"/>
    <col customWidth="1" min="6" max="6" width="37.75"/>
    <col customWidth="1" min="7" max="7" width="16.13"/>
    <col customWidth="1" min="8" max="8" width="16.38"/>
    <col customWidth="1" min="9" max="9" width="14.13"/>
    <col customWidth="1" min="10" max="10" width="28.63"/>
    <col customWidth="1" min="11" max="11" width="23.25"/>
  </cols>
  <sheetData>
    <row r="1" ht="22.5" customHeight="1">
      <c r="A1" s="14" t="s">
        <v>23</v>
      </c>
      <c r="B1" s="14" t="s">
        <v>24</v>
      </c>
      <c r="C1" s="14" t="s">
        <v>25</v>
      </c>
      <c r="D1" s="14" t="s">
        <v>26</v>
      </c>
      <c r="E1" s="14" t="s">
        <v>27</v>
      </c>
      <c r="F1" s="14" t="s">
        <v>28</v>
      </c>
      <c r="G1" s="14" t="s">
        <v>29</v>
      </c>
      <c r="H1" s="14" t="s">
        <v>30</v>
      </c>
      <c r="I1" s="14" t="s">
        <v>31</v>
      </c>
      <c r="J1" s="14" t="s">
        <v>32</v>
      </c>
      <c r="K1" s="14" t="s">
        <v>33</v>
      </c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ht="22.5" customHeight="1">
      <c r="A2" s="51" t="s">
        <v>456</v>
      </c>
      <c r="B2" s="86" t="s">
        <v>716</v>
      </c>
      <c r="C2" s="86" t="s">
        <v>717</v>
      </c>
      <c r="D2" s="87" t="s">
        <v>718</v>
      </c>
      <c r="E2" s="18" t="s">
        <v>459</v>
      </c>
      <c r="F2" s="88" t="s">
        <v>63</v>
      </c>
      <c r="G2" s="89">
        <v>46076.0</v>
      </c>
      <c r="H2" s="90">
        <v>0.0</v>
      </c>
      <c r="I2" s="91">
        <v>0.05</v>
      </c>
      <c r="J2" s="88" t="s">
        <v>719</v>
      </c>
      <c r="K2" s="51" t="s">
        <v>720</v>
      </c>
    </row>
    <row r="3" ht="22.5" customHeight="1">
      <c r="A3" s="51" t="s">
        <v>462</v>
      </c>
      <c r="B3" s="86" t="s">
        <v>721</v>
      </c>
      <c r="C3" s="86" t="s">
        <v>722</v>
      </c>
      <c r="D3" s="54" t="s">
        <v>572</v>
      </c>
      <c r="E3" s="18" t="s">
        <v>459</v>
      </c>
      <c r="F3" s="88" t="s">
        <v>460</v>
      </c>
      <c r="G3" s="89">
        <v>46076.0</v>
      </c>
      <c r="H3" s="90">
        <v>0.0</v>
      </c>
      <c r="I3" s="91">
        <v>0.1</v>
      </c>
      <c r="J3" s="88" t="s">
        <v>719</v>
      </c>
      <c r="K3" s="51" t="s">
        <v>720</v>
      </c>
    </row>
    <row r="4" ht="22.5" customHeight="1">
      <c r="A4" s="51" t="s">
        <v>465</v>
      </c>
      <c r="B4" s="86" t="s">
        <v>723</v>
      </c>
      <c r="C4" s="86" t="s">
        <v>724</v>
      </c>
      <c r="D4" s="54" t="s">
        <v>572</v>
      </c>
      <c r="E4" s="18" t="s">
        <v>459</v>
      </c>
      <c r="F4" s="88" t="s">
        <v>460</v>
      </c>
      <c r="G4" s="89">
        <v>46076.0</v>
      </c>
      <c r="H4" s="90">
        <v>0.0</v>
      </c>
      <c r="I4" s="91">
        <v>0.1</v>
      </c>
      <c r="J4" s="88" t="s">
        <v>719</v>
      </c>
      <c r="K4" s="51" t="s">
        <v>720</v>
      </c>
    </row>
    <row r="5" ht="22.5" customHeight="1">
      <c r="A5" s="51" t="s">
        <v>468</v>
      </c>
      <c r="B5" s="86" t="s">
        <v>725</v>
      </c>
      <c r="C5" s="86" t="s">
        <v>726</v>
      </c>
      <c r="D5" s="87" t="s">
        <v>537</v>
      </c>
      <c r="E5" s="18" t="s">
        <v>459</v>
      </c>
      <c r="F5" s="88" t="s">
        <v>671</v>
      </c>
      <c r="G5" s="89">
        <v>46076.0</v>
      </c>
      <c r="H5" s="90">
        <v>0.0</v>
      </c>
      <c r="I5" s="91">
        <v>0.1</v>
      </c>
      <c r="J5" s="88" t="s">
        <v>719</v>
      </c>
      <c r="K5" s="51" t="s">
        <v>720</v>
      </c>
    </row>
    <row r="6" ht="22.5" customHeight="1">
      <c r="A6" s="51" t="s">
        <v>727</v>
      </c>
      <c r="B6" s="86" t="s">
        <v>728</v>
      </c>
      <c r="C6" s="86" t="s">
        <v>729</v>
      </c>
      <c r="D6" s="87" t="s">
        <v>551</v>
      </c>
      <c r="E6" s="18" t="s">
        <v>459</v>
      </c>
      <c r="F6" s="88" t="s">
        <v>63</v>
      </c>
      <c r="G6" s="89">
        <v>46077.0</v>
      </c>
      <c r="H6" s="90">
        <v>0.0</v>
      </c>
      <c r="I6" s="91">
        <v>0.05</v>
      </c>
      <c r="J6" s="88" t="s">
        <v>719</v>
      </c>
      <c r="K6" s="51" t="s">
        <v>720</v>
      </c>
    </row>
    <row r="7" ht="22.5" customHeight="1">
      <c r="A7" s="51" t="s">
        <v>470</v>
      </c>
      <c r="B7" s="86" t="s">
        <v>730</v>
      </c>
      <c r="C7" s="86" t="s">
        <v>731</v>
      </c>
      <c r="D7" s="87" t="s">
        <v>732</v>
      </c>
      <c r="E7" s="18" t="s">
        <v>459</v>
      </c>
      <c r="F7" s="88" t="s">
        <v>671</v>
      </c>
      <c r="G7" s="89">
        <v>46077.0</v>
      </c>
      <c r="H7" s="90">
        <v>0.0</v>
      </c>
      <c r="I7" s="91">
        <v>0.1</v>
      </c>
      <c r="J7" s="88" t="s">
        <v>719</v>
      </c>
      <c r="K7" s="51" t="s">
        <v>720</v>
      </c>
    </row>
    <row r="8" ht="22.5" customHeight="1">
      <c r="A8" s="51" t="s">
        <v>473</v>
      </c>
      <c r="B8" s="86" t="s">
        <v>733</v>
      </c>
      <c r="C8" s="86" t="s">
        <v>734</v>
      </c>
      <c r="D8" s="87" t="s">
        <v>718</v>
      </c>
      <c r="E8" s="18" t="s">
        <v>459</v>
      </c>
      <c r="F8" s="88" t="s">
        <v>67</v>
      </c>
      <c r="G8" s="89">
        <v>46078.0</v>
      </c>
      <c r="H8" s="92">
        <v>405988.4</v>
      </c>
      <c r="I8" s="91">
        <v>0.33</v>
      </c>
      <c r="J8" s="88" t="s">
        <v>719</v>
      </c>
      <c r="K8" s="51" t="s">
        <v>720</v>
      </c>
    </row>
    <row r="9" ht="22.5" customHeight="1">
      <c r="A9" s="51" t="s">
        <v>476</v>
      </c>
      <c r="B9" s="86" t="s">
        <v>735</v>
      </c>
      <c r="C9" s="86" t="s">
        <v>736</v>
      </c>
      <c r="D9" s="87" t="s">
        <v>737</v>
      </c>
      <c r="E9" s="18" t="s">
        <v>459</v>
      </c>
      <c r="F9" s="88" t="s">
        <v>63</v>
      </c>
      <c r="G9" s="89">
        <v>46078.0</v>
      </c>
      <c r="H9" s="90">
        <v>0.0</v>
      </c>
      <c r="I9" s="91">
        <v>0.05</v>
      </c>
      <c r="J9" s="88" t="s">
        <v>719</v>
      </c>
      <c r="K9" s="51" t="s">
        <v>720</v>
      </c>
    </row>
    <row r="10" ht="22.5" customHeight="1">
      <c r="A10" s="51" t="s">
        <v>479</v>
      </c>
      <c r="B10" s="86" t="s">
        <v>738</v>
      </c>
      <c r="C10" s="86" t="s">
        <v>739</v>
      </c>
      <c r="D10" s="54" t="s">
        <v>572</v>
      </c>
      <c r="E10" s="18" t="s">
        <v>459</v>
      </c>
      <c r="F10" s="88" t="s">
        <v>460</v>
      </c>
      <c r="G10" s="89">
        <v>46078.0</v>
      </c>
      <c r="H10" s="90">
        <v>0.0</v>
      </c>
      <c r="I10" s="91">
        <v>0.1</v>
      </c>
      <c r="J10" s="88" t="s">
        <v>97</v>
      </c>
      <c r="K10" s="51" t="s">
        <v>720</v>
      </c>
    </row>
    <row r="11" ht="22.5" customHeight="1">
      <c r="A11" s="51" t="s">
        <v>482</v>
      </c>
      <c r="B11" s="86" t="s">
        <v>740</v>
      </c>
      <c r="C11" s="86" t="s">
        <v>741</v>
      </c>
      <c r="D11" s="54" t="s">
        <v>572</v>
      </c>
      <c r="E11" s="18" t="s">
        <v>742</v>
      </c>
      <c r="F11" s="88" t="s">
        <v>460</v>
      </c>
      <c r="G11" s="89">
        <v>46083.0</v>
      </c>
      <c r="H11" s="90">
        <v>0.0</v>
      </c>
      <c r="I11" s="91">
        <v>0.5</v>
      </c>
      <c r="J11" s="88" t="s">
        <v>719</v>
      </c>
      <c r="K11" s="51" t="s">
        <v>720</v>
      </c>
    </row>
    <row r="12" ht="22.5" customHeight="1">
      <c r="A12" s="51" t="s">
        <v>485</v>
      </c>
      <c r="B12" s="86" t="s">
        <v>743</v>
      </c>
      <c r="C12" s="86" t="s">
        <v>744</v>
      </c>
      <c r="D12" s="54" t="s">
        <v>745</v>
      </c>
      <c r="E12" s="18" t="s">
        <v>742</v>
      </c>
      <c r="F12" s="88" t="s">
        <v>671</v>
      </c>
      <c r="G12" s="89">
        <v>46083.0</v>
      </c>
      <c r="H12" s="90">
        <v>0.0</v>
      </c>
      <c r="I12" s="91">
        <v>0.5</v>
      </c>
      <c r="J12" s="88" t="s">
        <v>719</v>
      </c>
      <c r="K12" s="51" t="s">
        <v>720</v>
      </c>
    </row>
    <row r="13" ht="22.5" customHeight="1">
      <c r="A13" s="51" t="s">
        <v>488</v>
      </c>
      <c r="B13" s="86" t="s">
        <v>746</v>
      </c>
      <c r="C13" s="86" t="s">
        <v>494</v>
      </c>
      <c r="D13" s="54" t="s">
        <v>572</v>
      </c>
      <c r="E13" s="18" t="s">
        <v>459</v>
      </c>
      <c r="F13" s="88" t="s">
        <v>671</v>
      </c>
      <c r="G13" s="89">
        <v>46085.0</v>
      </c>
      <c r="H13" s="90">
        <v>0.0</v>
      </c>
      <c r="I13" s="91">
        <v>0.7</v>
      </c>
      <c r="J13" s="88" t="s">
        <v>747</v>
      </c>
      <c r="K13" s="51" t="s">
        <v>720</v>
      </c>
    </row>
    <row r="14" ht="22.5" customHeight="1">
      <c r="A14" s="51" t="s">
        <v>492</v>
      </c>
      <c r="B14" s="86" t="s">
        <v>748</v>
      </c>
      <c r="C14" s="86" t="s">
        <v>749</v>
      </c>
      <c r="D14" s="54" t="s">
        <v>750</v>
      </c>
      <c r="E14" s="18" t="s">
        <v>751</v>
      </c>
      <c r="F14" s="88" t="s">
        <v>460</v>
      </c>
      <c r="G14" s="89">
        <v>46086.0</v>
      </c>
      <c r="H14" s="90">
        <v>0.0</v>
      </c>
      <c r="I14" s="91">
        <v>0.1</v>
      </c>
      <c r="J14" s="88" t="s">
        <v>97</v>
      </c>
      <c r="K14" s="51" t="s">
        <v>720</v>
      </c>
    </row>
    <row r="15" ht="22.5" customHeight="1">
      <c r="A15" s="51" t="s">
        <v>495</v>
      </c>
      <c r="B15" s="86" t="s">
        <v>752</v>
      </c>
      <c r="C15" s="86" t="s">
        <v>753</v>
      </c>
      <c r="D15" s="54" t="s">
        <v>551</v>
      </c>
      <c r="E15" s="18" t="s">
        <v>459</v>
      </c>
      <c r="F15" s="88" t="s">
        <v>47</v>
      </c>
      <c r="G15" s="89">
        <v>46086.0</v>
      </c>
      <c r="H15" s="92">
        <v>461237.52</v>
      </c>
      <c r="I15" s="91">
        <v>0.7</v>
      </c>
      <c r="J15" s="88" t="s">
        <v>719</v>
      </c>
      <c r="K15" s="51" t="s">
        <v>720</v>
      </c>
    </row>
    <row r="16" ht="22.5" customHeight="1">
      <c r="A16" s="51" t="s">
        <v>499</v>
      </c>
      <c r="B16" s="86" t="s">
        <v>754</v>
      </c>
      <c r="C16" s="86" t="s">
        <v>755</v>
      </c>
      <c r="D16" s="54" t="s">
        <v>572</v>
      </c>
      <c r="E16" s="18" t="s">
        <v>751</v>
      </c>
      <c r="F16" s="88" t="s">
        <v>671</v>
      </c>
      <c r="G16" s="89">
        <v>46087.0</v>
      </c>
      <c r="H16" s="90">
        <v>0.0</v>
      </c>
      <c r="I16" s="91">
        <v>0.7</v>
      </c>
      <c r="J16" s="88" t="s">
        <v>97</v>
      </c>
      <c r="K16" s="51" t="s">
        <v>720</v>
      </c>
    </row>
    <row r="17" ht="22.5" customHeight="1">
      <c r="A17" s="51" t="s">
        <v>502</v>
      </c>
      <c r="B17" s="86" t="s">
        <v>756</v>
      </c>
      <c r="C17" s="86" t="s">
        <v>757</v>
      </c>
      <c r="D17" s="54" t="s">
        <v>718</v>
      </c>
      <c r="E17" s="18" t="s">
        <v>459</v>
      </c>
      <c r="F17" s="88" t="s">
        <v>758</v>
      </c>
      <c r="G17" s="89">
        <v>46090.0</v>
      </c>
      <c r="H17" s="90">
        <v>0.0</v>
      </c>
      <c r="I17" s="91">
        <v>0.1</v>
      </c>
      <c r="J17" s="88" t="s">
        <v>719</v>
      </c>
      <c r="K17" s="51" t="s">
        <v>720</v>
      </c>
    </row>
    <row r="18" ht="22.5" customHeight="1">
      <c r="A18" s="51" t="s">
        <v>505</v>
      </c>
      <c r="B18" s="86" t="s">
        <v>759</v>
      </c>
      <c r="C18" s="86" t="s">
        <v>760</v>
      </c>
      <c r="D18" s="54" t="s">
        <v>761</v>
      </c>
      <c r="E18" s="18" t="s">
        <v>751</v>
      </c>
      <c r="F18" s="88" t="s">
        <v>47</v>
      </c>
      <c r="G18" s="89">
        <v>46094.0</v>
      </c>
      <c r="H18" s="92">
        <v>502961.0</v>
      </c>
      <c r="I18" s="91">
        <v>0.7</v>
      </c>
      <c r="J18" s="88" t="s">
        <v>48</v>
      </c>
      <c r="K18" s="51" t="s">
        <v>720</v>
      </c>
    </row>
    <row r="19" ht="22.5" customHeight="1">
      <c r="A19" s="51" t="s">
        <v>508</v>
      </c>
      <c r="B19" s="86" t="s">
        <v>759</v>
      </c>
      <c r="C19" s="86" t="s">
        <v>762</v>
      </c>
      <c r="D19" s="54" t="s">
        <v>572</v>
      </c>
      <c r="E19" s="18" t="s">
        <v>751</v>
      </c>
      <c r="F19" s="88" t="s">
        <v>491</v>
      </c>
      <c r="G19" s="89">
        <v>46104.0</v>
      </c>
      <c r="H19" s="90">
        <v>0.0</v>
      </c>
      <c r="I19" s="91">
        <v>0.5</v>
      </c>
      <c r="J19" s="88" t="s">
        <v>524</v>
      </c>
      <c r="K19" s="51" t="s">
        <v>720</v>
      </c>
    </row>
    <row r="20" ht="22.5" customHeight="1">
      <c r="A20" s="51" t="s">
        <v>511</v>
      </c>
      <c r="B20" s="86" t="s">
        <v>763</v>
      </c>
      <c r="C20" s="86" t="s">
        <v>764</v>
      </c>
      <c r="D20" s="54" t="s">
        <v>572</v>
      </c>
      <c r="E20" s="18" t="s">
        <v>765</v>
      </c>
      <c r="F20" s="88" t="s">
        <v>47</v>
      </c>
      <c r="G20" s="89">
        <v>46104.0</v>
      </c>
      <c r="H20" s="90">
        <v>0.0</v>
      </c>
      <c r="I20" s="91">
        <v>0.1</v>
      </c>
      <c r="J20" s="88" t="s">
        <v>48</v>
      </c>
      <c r="K20" s="51" t="s">
        <v>720</v>
      </c>
    </row>
    <row r="21" ht="22.5" customHeight="1">
      <c r="A21" s="51" t="s">
        <v>514</v>
      </c>
      <c r="B21" s="86" t="s">
        <v>759</v>
      </c>
      <c r="C21" s="86" t="s">
        <v>766</v>
      </c>
      <c r="D21" s="54" t="s">
        <v>572</v>
      </c>
      <c r="E21" s="18" t="s">
        <v>751</v>
      </c>
      <c r="F21" s="88" t="s">
        <v>491</v>
      </c>
      <c r="G21" s="89">
        <v>46105.0</v>
      </c>
      <c r="H21" s="92">
        <v>186091.95</v>
      </c>
      <c r="I21" s="91">
        <v>0.5</v>
      </c>
      <c r="J21" s="88" t="s">
        <v>48</v>
      </c>
      <c r="K21" s="51" t="s">
        <v>720</v>
      </c>
    </row>
    <row r="22" ht="22.5" customHeight="1">
      <c r="A22" s="51" t="s">
        <v>517</v>
      </c>
      <c r="B22" s="86" t="s">
        <v>767</v>
      </c>
      <c r="C22" s="86" t="s">
        <v>768</v>
      </c>
      <c r="D22" s="54" t="s">
        <v>769</v>
      </c>
      <c r="E22" s="18" t="s">
        <v>459</v>
      </c>
      <c r="F22" s="88" t="s">
        <v>691</v>
      </c>
      <c r="G22" s="89">
        <v>46120.0</v>
      </c>
      <c r="H22" s="92">
        <v>135200.0</v>
      </c>
      <c r="I22" s="91">
        <v>0.2</v>
      </c>
      <c r="J22" s="88" t="s">
        <v>97</v>
      </c>
      <c r="K22" s="51" t="s">
        <v>720</v>
      </c>
    </row>
    <row r="23" ht="22.5" customHeight="1">
      <c r="A23" s="51" t="s">
        <v>521</v>
      </c>
      <c r="B23" s="86" t="s">
        <v>770</v>
      </c>
      <c r="C23" s="86" t="s">
        <v>771</v>
      </c>
      <c r="D23" s="54" t="s">
        <v>772</v>
      </c>
      <c r="E23" s="18" t="s">
        <v>459</v>
      </c>
      <c r="F23" s="88" t="s">
        <v>460</v>
      </c>
      <c r="G23" s="89">
        <v>46125.0</v>
      </c>
      <c r="H23" s="90">
        <v>0.0</v>
      </c>
      <c r="I23" s="91">
        <v>0.1</v>
      </c>
      <c r="J23" s="88" t="s">
        <v>97</v>
      </c>
      <c r="K23" s="51" t="s">
        <v>720</v>
      </c>
    </row>
    <row r="24" ht="22.5" customHeight="1">
      <c r="A24" s="51" t="s">
        <v>525</v>
      </c>
      <c r="B24" s="86" t="s">
        <v>773</v>
      </c>
      <c r="C24" s="86" t="s">
        <v>774</v>
      </c>
      <c r="D24" s="54" t="s">
        <v>718</v>
      </c>
      <c r="E24" s="18" t="s">
        <v>459</v>
      </c>
      <c r="F24" s="88" t="s">
        <v>491</v>
      </c>
      <c r="G24" s="89">
        <v>46128.0</v>
      </c>
      <c r="H24" s="90">
        <v>0.0</v>
      </c>
      <c r="I24" s="91">
        <v>0.1</v>
      </c>
      <c r="J24" s="88" t="s">
        <v>719</v>
      </c>
      <c r="K24" s="51" t="s">
        <v>720</v>
      </c>
    </row>
    <row r="25" ht="22.5" customHeight="1">
      <c r="A25" s="51" t="s">
        <v>528</v>
      </c>
      <c r="B25" s="86" t="s">
        <v>775</v>
      </c>
      <c r="C25" s="86" t="s">
        <v>776</v>
      </c>
      <c r="D25" s="54" t="s">
        <v>777</v>
      </c>
      <c r="E25" s="18" t="s">
        <v>751</v>
      </c>
      <c r="F25" s="88" t="s">
        <v>460</v>
      </c>
      <c r="G25" s="89">
        <v>46128.0</v>
      </c>
      <c r="H25" s="90">
        <v>0.0</v>
      </c>
      <c r="I25" s="91">
        <v>0.1</v>
      </c>
      <c r="J25" s="88" t="s">
        <v>97</v>
      </c>
      <c r="K25" s="51" t="s">
        <v>720</v>
      </c>
    </row>
    <row r="26" ht="22.5" customHeight="1">
      <c r="A26" s="51" t="s">
        <v>531</v>
      </c>
      <c r="B26" s="86" t="s">
        <v>778</v>
      </c>
      <c r="C26" s="86" t="s">
        <v>779</v>
      </c>
      <c r="D26" s="18"/>
      <c r="E26" s="18" t="s">
        <v>459</v>
      </c>
      <c r="F26" s="88" t="s">
        <v>460</v>
      </c>
      <c r="G26" s="89">
        <v>46128.0</v>
      </c>
      <c r="H26" s="90">
        <v>0.0</v>
      </c>
      <c r="I26" s="91">
        <v>0.1</v>
      </c>
      <c r="J26" s="88" t="s">
        <v>97</v>
      </c>
      <c r="K26" s="51" t="s">
        <v>720</v>
      </c>
    </row>
    <row r="27" ht="22.5" customHeight="1">
      <c r="A27" s="51" t="s">
        <v>534</v>
      </c>
      <c r="B27" s="86" t="s">
        <v>780</v>
      </c>
      <c r="C27" s="86" t="s">
        <v>781</v>
      </c>
      <c r="D27" s="54" t="s">
        <v>782</v>
      </c>
      <c r="E27" s="18" t="s">
        <v>459</v>
      </c>
      <c r="F27" s="88" t="s">
        <v>671</v>
      </c>
      <c r="G27" s="89">
        <v>46135.0</v>
      </c>
      <c r="H27" s="90">
        <v>0.0</v>
      </c>
      <c r="I27" s="91">
        <v>0.1</v>
      </c>
      <c r="J27" s="88" t="s">
        <v>97</v>
      </c>
      <c r="K27" s="51" t="s">
        <v>720</v>
      </c>
    </row>
    <row r="28" ht="22.5" customHeight="1">
      <c r="A28" s="51" t="s">
        <v>538</v>
      </c>
      <c r="B28" s="86" t="s">
        <v>783</v>
      </c>
      <c r="C28" s="86" t="s">
        <v>784</v>
      </c>
      <c r="D28" s="54" t="s">
        <v>785</v>
      </c>
      <c r="E28" s="18" t="s">
        <v>459</v>
      </c>
      <c r="F28" s="88" t="s">
        <v>671</v>
      </c>
      <c r="G28" s="89">
        <v>46135.0</v>
      </c>
      <c r="H28" s="90">
        <v>0.0</v>
      </c>
      <c r="I28" s="91">
        <v>0.1</v>
      </c>
      <c r="J28" s="88" t="s">
        <v>719</v>
      </c>
      <c r="K28" s="51" t="s">
        <v>720</v>
      </c>
    </row>
    <row r="29" ht="22.5" customHeight="1">
      <c r="A29" s="51" t="s">
        <v>542</v>
      </c>
      <c r="B29" s="86" t="s">
        <v>606</v>
      </c>
      <c r="C29" s="86" t="s">
        <v>786</v>
      </c>
      <c r="D29" s="54" t="s">
        <v>787</v>
      </c>
      <c r="E29" s="18" t="s">
        <v>788</v>
      </c>
      <c r="F29" s="88" t="s">
        <v>460</v>
      </c>
      <c r="G29" s="89">
        <v>46135.0</v>
      </c>
      <c r="H29" s="90">
        <v>0.0</v>
      </c>
      <c r="I29" s="91">
        <v>0.1</v>
      </c>
      <c r="J29" s="88" t="s">
        <v>97</v>
      </c>
      <c r="K29" s="51" t="s">
        <v>720</v>
      </c>
    </row>
    <row r="30" ht="22.5" customHeight="1">
      <c r="A30" s="51" t="s">
        <v>545</v>
      </c>
      <c r="B30" s="86" t="s">
        <v>606</v>
      </c>
      <c r="C30" s="86" t="s">
        <v>789</v>
      </c>
      <c r="D30" s="54" t="s">
        <v>790</v>
      </c>
      <c r="E30" s="18" t="s">
        <v>788</v>
      </c>
      <c r="F30" s="88" t="s">
        <v>460</v>
      </c>
      <c r="G30" s="89">
        <v>46135.0</v>
      </c>
      <c r="H30" s="90">
        <v>0.0</v>
      </c>
      <c r="I30" s="91">
        <v>0.1</v>
      </c>
      <c r="J30" s="88" t="s">
        <v>97</v>
      </c>
      <c r="K30" s="51" t="s">
        <v>720</v>
      </c>
    </row>
    <row r="31" ht="22.5" customHeight="1">
      <c r="A31" s="51" t="s">
        <v>549</v>
      </c>
      <c r="B31" s="86"/>
      <c r="C31" s="86"/>
      <c r="D31" s="18"/>
      <c r="E31" s="18"/>
      <c r="F31" s="93"/>
      <c r="G31" s="89"/>
      <c r="H31" s="90"/>
      <c r="I31" s="91"/>
      <c r="J31" s="93"/>
      <c r="K31" s="51" t="s">
        <v>720</v>
      </c>
    </row>
    <row r="32" ht="22.5" customHeight="1">
      <c r="A32" s="51" t="s">
        <v>552</v>
      </c>
      <c r="B32" s="86"/>
      <c r="C32" s="86"/>
      <c r="D32" s="18"/>
      <c r="E32" s="18"/>
      <c r="F32" s="93"/>
      <c r="G32" s="89"/>
      <c r="H32" s="90"/>
      <c r="I32" s="91"/>
      <c r="J32" s="93"/>
      <c r="K32" s="51" t="s">
        <v>720</v>
      </c>
    </row>
    <row r="33" ht="22.5" customHeight="1">
      <c r="A33" s="51" t="s">
        <v>555</v>
      </c>
      <c r="B33" s="86"/>
      <c r="C33" s="86"/>
      <c r="D33" s="18"/>
      <c r="E33" s="18"/>
      <c r="F33" s="93"/>
      <c r="G33" s="89"/>
      <c r="H33" s="90"/>
      <c r="I33" s="91"/>
      <c r="J33" s="93"/>
      <c r="K33" s="51" t="s">
        <v>720</v>
      </c>
    </row>
    <row r="34" ht="22.5" customHeight="1">
      <c r="A34" s="51" t="s">
        <v>558</v>
      </c>
      <c r="B34" s="86"/>
      <c r="C34" s="86"/>
      <c r="D34" s="18"/>
      <c r="E34" s="18"/>
      <c r="F34" s="88"/>
      <c r="G34" s="89"/>
      <c r="H34" s="90"/>
      <c r="I34" s="91"/>
      <c r="J34" s="88"/>
      <c r="K34" s="51" t="s">
        <v>720</v>
      </c>
    </row>
    <row r="35" ht="22.5" customHeight="1">
      <c r="A35" s="51" t="s">
        <v>563</v>
      </c>
      <c r="B35" s="86"/>
      <c r="C35" s="86"/>
      <c r="D35" s="18"/>
      <c r="E35" s="18"/>
      <c r="F35" s="88"/>
      <c r="G35" s="89"/>
      <c r="H35" s="90"/>
      <c r="I35" s="91"/>
      <c r="J35" s="88"/>
      <c r="K35" s="51" t="s">
        <v>720</v>
      </c>
    </row>
    <row r="36" ht="22.5" customHeight="1">
      <c r="A36" s="51" t="s">
        <v>566</v>
      </c>
      <c r="B36" s="86"/>
      <c r="C36" s="86"/>
      <c r="D36" s="18"/>
      <c r="E36" s="18"/>
      <c r="F36" s="88"/>
      <c r="G36" s="89"/>
      <c r="H36" s="90"/>
      <c r="I36" s="91"/>
      <c r="J36" s="88"/>
      <c r="K36" s="51" t="s">
        <v>720</v>
      </c>
    </row>
    <row r="37" ht="22.5" customHeight="1">
      <c r="A37" s="51" t="s">
        <v>569</v>
      </c>
      <c r="B37" s="86"/>
      <c r="C37" s="86"/>
      <c r="D37" s="18"/>
      <c r="E37" s="18"/>
      <c r="F37" s="88"/>
      <c r="G37" s="89"/>
      <c r="H37" s="90"/>
      <c r="I37" s="91"/>
      <c r="J37" s="88"/>
      <c r="K37" s="51" t="s">
        <v>720</v>
      </c>
    </row>
    <row r="38" ht="22.5" customHeight="1">
      <c r="A38" s="51" t="s">
        <v>573</v>
      </c>
      <c r="B38" s="86"/>
      <c r="C38" s="86"/>
      <c r="D38" s="18"/>
      <c r="E38" s="18"/>
      <c r="F38" s="88"/>
      <c r="G38" s="89"/>
      <c r="H38" s="90"/>
      <c r="I38" s="91"/>
      <c r="J38" s="88"/>
      <c r="K38" s="51" t="s">
        <v>720</v>
      </c>
    </row>
    <row r="39" ht="22.5" customHeight="1">
      <c r="A39" s="51" t="s">
        <v>576</v>
      </c>
      <c r="B39" s="86"/>
      <c r="C39" s="86"/>
      <c r="D39" s="18"/>
      <c r="E39" s="18"/>
      <c r="F39" s="88"/>
      <c r="G39" s="89"/>
      <c r="H39" s="90"/>
      <c r="I39" s="91"/>
      <c r="J39" s="88"/>
      <c r="K39" s="51" t="s">
        <v>720</v>
      </c>
    </row>
    <row r="40" ht="22.5" customHeight="1">
      <c r="A40" s="51" t="s">
        <v>579</v>
      </c>
      <c r="B40" s="86"/>
      <c r="C40" s="86"/>
      <c r="D40" s="18"/>
      <c r="E40" s="18"/>
      <c r="F40" s="88"/>
      <c r="G40" s="89"/>
      <c r="H40" s="90"/>
      <c r="I40" s="91"/>
      <c r="J40" s="88"/>
      <c r="K40" s="51" t="s">
        <v>720</v>
      </c>
    </row>
    <row r="41" ht="22.5" customHeight="1">
      <c r="A41" s="51" t="s">
        <v>582</v>
      </c>
      <c r="B41" s="86"/>
      <c r="C41" s="86"/>
      <c r="D41" s="18"/>
      <c r="E41" s="18"/>
      <c r="F41" s="88"/>
      <c r="G41" s="89"/>
      <c r="H41" s="90"/>
      <c r="I41" s="91"/>
      <c r="J41" s="88"/>
      <c r="K41" s="51" t="s">
        <v>720</v>
      </c>
    </row>
    <row r="42" ht="22.5" customHeight="1">
      <c r="A42" s="51" t="s">
        <v>585</v>
      </c>
      <c r="B42" s="86"/>
      <c r="C42" s="86"/>
      <c r="D42" s="18"/>
      <c r="E42" s="18"/>
      <c r="F42" s="88"/>
      <c r="G42" s="89"/>
      <c r="H42" s="90"/>
      <c r="I42" s="91"/>
      <c r="J42" s="88"/>
      <c r="K42" s="51" t="s">
        <v>720</v>
      </c>
    </row>
    <row r="43" ht="22.5" customHeight="1">
      <c r="A43" s="51" t="s">
        <v>587</v>
      </c>
      <c r="B43" s="86"/>
      <c r="C43" s="86"/>
      <c r="D43" s="18"/>
      <c r="E43" s="18"/>
      <c r="F43" s="88"/>
      <c r="G43" s="89"/>
      <c r="H43" s="90"/>
      <c r="I43" s="91"/>
      <c r="J43" s="88"/>
      <c r="K43" s="51" t="s">
        <v>720</v>
      </c>
    </row>
    <row r="44" ht="22.5" customHeight="1">
      <c r="A44" s="51" t="s">
        <v>590</v>
      </c>
      <c r="B44" s="86"/>
      <c r="C44" s="86"/>
      <c r="D44" s="18"/>
      <c r="E44" s="18"/>
      <c r="F44" s="88"/>
      <c r="G44" s="89"/>
      <c r="H44" s="90"/>
      <c r="I44" s="91"/>
      <c r="J44" s="88"/>
      <c r="K44" s="51" t="s">
        <v>720</v>
      </c>
    </row>
    <row r="45" ht="22.5" customHeight="1">
      <c r="A45" s="51" t="s">
        <v>593</v>
      </c>
      <c r="B45" s="86"/>
      <c r="C45" s="86"/>
      <c r="D45" s="18"/>
      <c r="E45" s="18"/>
      <c r="F45" s="88"/>
      <c r="G45" s="89"/>
      <c r="H45" s="90"/>
      <c r="I45" s="91"/>
      <c r="J45" s="88"/>
      <c r="K45" s="51" t="s">
        <v>720</v>
      </c>
    </row>
    <row r="46" ht="22.5" customHeight="1">
      <c r="A46" s="51" t="s">
        <v>596</v>
      </c>
      <c r="B46" s="86"/>
      <c r="C46" s="86"/>
      <c r="D46" s="18"/>
      <c r="E46" s="18"/>
      <c r="F46" s="88"/>
      <c r="G46" s="89"/>
      <c r="H46" s="90"/>
      <c r="I46" s="91"/>
      <c r="J46" s="88"/>
      <c r="K46" s="51" t="s">
        <v>720</v>
      </c>
    </row>
    <row r="47" ht="22.5" customHeight="1">
      <c r="A47" s="51" t="s">
        <v>599</v>
      </c>
      <c r="B47" s="86"/>
      <c r="C47" s="86"/>
      <c r="D47" s="18"/>
      <c r="E47" s="18"/>
      <c r="F47" s="88"/>
      <c r="G47" s="89"/>
      <c r="H47" s="90"/>
      <c r="I47" s="91"/>
      <c r="J47" s="88"/>
      <c r="K47" s="51" t="s">
        <v>720</v>
      </c>
    </row>
    <row r="48" ht="22.5" customHeight="1">
      <c r="A48" s="51" t="s">
        <v>602</v>
      </c>
      <c r="B48" s="86"/>
      <c r="C48" s="86"/>
      <c r="D48" s="18"/>
      <c r="E48" s="18"/>
      <c r="F48" s="88"/>
      <c r="G48" s="89"/>
      <c r="H48" s="90"/>
      <c r="I48" s="91"/>
      <c r="J48" s="88"/>
      <c r="K48" s="51" t="s">
        <v>720</v>
      </c>
    </row>
    <row r="49" ht="22.5" customHeight="1">
      <c r="A49" s="51" t="s">
        <v>605</v>
      </c>
      <c r="B49" s="86"/>
      <c r="C49" s="86"/>
      <c r="D49" s="18"/>
      <c r="E49" s="18"/>
      <c r="F49" s="88"/>
      <c r="G49" s="89"/>
      <c r="H49" s="90"/>
      <c r="I49" s="91"/>
      <c r="J49" s="88"/>
      <c r="K49" s="51" t="s">
        <v>720</v>
      </c>
    </row>
    <row r="50" ht="22.5" customHeight="1">
      <c r="A50" s="51" t="s">
        <v>608</v>
      </c>
      <c r="B50" s="86"/>
      <c r="C50" s="86"/>
      <c r="D50" s="18"/>
      <c r="E50" s="18"/>
      <c r="F50" s="88"/>
      <c r="G50" s="89"/>
      <c r="H50" s="90"/>
      <c r="I50" s="91"/>
      <c r="J50" s="88"/>
      <c r="K50" s="51" t="s">
        <v>720</v>
      </c>
    </row>
    <row r="51" ht="22.5" customHeight="1">
      <c r="A51" s="51" t="s">
        <v>611</v>
      </c>
      <c r="B51" s="86"/>
      <c r="C51" s="86"/>
      <c r="D51" s="18"/>
      <c r="E51" s="18"/>
      <c r="F51" s="88"/>
      <c r="G51" s="89"/>
      <c r="H51" s="90"/>
      <c r="I51" s="91"/>
      <c r="J51" s="88"/>
      <c r="K51" s="51" t="s">
        <v>720</v>
      </c>
    </row>
    <row r="52" ht="22.5" customHeight="1">
      <c r="A52" s="51" t="s">
        <v>614</v>
      </c>
      <c r="B52" s="86"/>
      <c r="C52" s="86"/>
      <c r="D52" s="18"/>
      <c r="E52" s="18"/>
      <c r="F52" s="88"/>
      <c r="G52" s="89"/>
      <c r="H52" s="90"/>
      <c r="I52" s="91"/>
      <c r="J52" s="88"/>
      <c r="K52" s="51" t="s">
        <v>720</v>
      </c>
    </row>
    <row r="53" ht="22.5" customHeight="1">
      <c r="A53" s="51" t="s">
        <v>617</v>
      </c>
      <c r="B53" s="86"/>
      <c r="C53" s="86"/>
      <c r="D53" s="18"/>
      <c r="E53" s="18"/>
      <c r="F53" s="88"/>
      <c r="G53" s="89"/>
      <c r="H53" s="90"/>
      <c r="I53" s="91"/>
      <c r="J53" s="88"/>
      <c r="K53" s="51" t="s">
        <v>720</v>
      </c>
    </row>
    <row r="54" ht="22.5" customHeight="1">
      <c r="A54" s="51" t="s">
        <v>620</v>
      </c>
      <c r="B54" s="86"/>
      <c r="C54" s="86"/>
      <c r="D54" s="18"/>
      <c r="E54" s="18"/>
      <c r="F54" s="88"/>
      <c r="G54" s="89"/>
      <c r="H54" s="90"/>
      <c r="I54" s="91"/>
      <c r="J54" s="88"/>
      <c r="K54" s="51" t="s">
        <v>720</v>
      </c>
    </row>
    <row r="55" ht="22.5" customHeight="1">
      <c r="A55" s="51" t="s">
        <v>623</v>
      </c>
      <c r="B55" s="86"/>
      <c r="C55" s="86"/>
      <c r="D55" s="18"/>
      <c r="E55" s="18"/>
      <c r="F55" s="88"/>
      <c r="G55" s="89"/>
      <c r="H55" s="90"/>
      <c r="I55" s="91"/>
      <c r="J55" s="88"/>
      <c r="K55" s="51" t="s">
        <v>720</v>
      </c>
    </row>
    <row r="56" ht="22.5" customHeight="1">
      <c r="A56" s="51" t="s">
        <v>626</v>
      </c>
      <c r="B56" s="86"/>
      <c r="C56" s="86"/>
      <c r="D56" s="18"/>
      <c r="E56" s="18"/>
      <c r="F56" s="88"/>
      <c r="G56" s="89"/>
      <c r="H56" s="90"/>
      <c r="I56" s="91"/>
      <c r="J56" s="88"/>
      <c r="K56" s="51" t="s">
        <v>720</v>
      </c>
    </row>
    <row r="57" ht="22.5" customHeight="1">
      <c r="A57" s="51" t="s">
        <v>629</v>
      </c>
      <c r="B57" s="86"/>
      <c r="C57" s="86"/>
      <c r="D57" s="18"/>
      <c r="E57" s="18"/>
      <c r="F57" s="88"/>
      <c r="G57" s="89"/>
      <c r="H57" s="90"/>
      <c r="I57" s="91"/>
      <c r="J57" s="88"/>
      <c r="K57" s="51" t="s">
        <v>720</v>
      </c>
    </row>
    <row r="58" ht="22.5" customHeight="1">
      <c r="A58" s="51" t="s">
        <v>632</v>
      </c>
      <c r="B58" s="86"/>
      <c r="C58" s="86"/>
      <c r="D58" s="18"/>
      <c r="E58" s="18"/>
      <c r="F58" s="88"/>
      <c r="G58" s="89"/>
      <c r="H58" s="90"/>
      <c r="I58" s="91"/>
      <c r="J58" s="88"/>
      <c r="K58" s="51" t="s">
        <v>720</v>
      </c>
    </row>
    <row r="59" ht="22.5" customHeight="1">
      <c r="A59" s="51" t="s">
        <v>635</v>
      </c>
      <c r="B59" s="86"/>
      <c r="C59" s="86"/>
      <c r="D59" s="18"/>
      <c r="E59" s="18"/>
      <c r="F59" s="88"/>
      <c r="G59" s="89"/>
      <c r="H59" s="90"/>
      <c r="I59" s="91"/>
      <c r="J59" s="88"/>
      <c r="K59" s="51" t="s">
        <v>720</v>
      </c>
    </row>
    <row r="60" ht="22.5" customHeight="1">
      <c r="A60" s="51" t="s">
        <v>638</v>
      </c>
      <c r="B60" s="86"/>
      <c r="C60" s="86"/>
      <c r="D60" s="18"/>
      <c r="E60" s="18"/>
      <c r="F60" s="88"/>
      <c r="G60" s="89"/>
      <c r="H60" s="90"/>
      <c r="I60" s="91"/>
      <c r="J60" s="88"/>
      <c r="K60" s="51" t="s">
        <v>720</v>
      </c>
    </row>
    <row r="61" ht="22.5" customHeight="1">
      <c r="A61" s="51" t="s">
        <v>641</v>
      </c>
      <c r="B61" s="86"/>
      <c r="C61" s="94"/>
      <c r="D61" s="18"/>
      <c r="E61" s="18"/>
      <c r="F61" s="88"/>
      <c r="G61" s="89"/>
      <c r="H61" s="90"/>
      <c r="I61" s="91"/>
      <c r="J61" s="88"/>
      <c r="K61" s="51" t="s">
        <v>720</v>
      </c>
    </row>
    <row r="62" ht="22.5" customHeight="1">
      <c r="A62" s="51" t="s">
        <v>644</v>
      </c>
      <c r="B62" s="86"/>
      <c r="C62" s="86"/>
      <c r="D62" s="18"/>
      <c r="E62" s="18"/>
      <c r="F62" s="88"/>
      <c r="G62" s="89"/>
      <c r="H62" s="90"/>
      <c r="I62" s="91"/>
      <c r="J62" s="88"/>
      <c r="K62" s="51" t="s">
        <v>720</v>
      </c>
    </row>
    <row r="63" ht="22.5" customHeight="1">
      <c r="A63" s="51" t="s">
        <v>647</v>
      </c>
      <c r="B63" s="86"/>
      <c r="C63" s="86"/>
      <c r="D63" s="18"/>
      <c r="E63" s="18"/>
      <c r="F63" s="88"/>
      <c r="G63" s="89"/>
      <c r="H63" s="90"/>
      <c r="I63" s="91"/>
      <c r="J63" s="88"/>
      <c r="K63" s="51" t="s">
        <v>720</v>
      </c>
    </row>
    <row r="64" ht="22.5" customHeight="1">
      <c r="A64" s="51" t="s">
        <v>648</v>
      </c>
      <c r="B64" s="86"/>
      <c r="C64" s="86"/>
      <c r="D64" s="18"/>
      <c r="E64" s="18"/>
      <c r="F64" s="88"/>
      <c r="G64" s="89"/>
      <c r="H64" s="90"/>
      <c r="I64" s="91"/>
      <c r="J64" s="88"/>
      <c r="K64" s="51" t="s">
        <v>720</v>
      </c>
    </row>
    <row r="65" ht="22.5" customHeight="1">
      <c r="A65" s="51" t="s">
        <v>649</v>
      </c>
      <c r="B65" s="86"/>
      <c r="C65" s="86"/>
      <c r="D65" s="18"/>
      <c r="E65" s="18"/>
      <c r="F65" s="88"/>
      <c r="G65" s="89"/>
      <c r="H65" s="90"/>
      <c r="I65" s="91"/>
      <c r="J65" s="88"/>
      <c r="K65" s="51" t="s">
        <v>720</v>
      </c>
    </row>
    <row r="66" ht="22.5" customHeight="1">
      <c r="A66" s="51" t="s">
        <v>650</v>
      </c>
      <c r="B66" s="86"/>
      <c r="C66" s="86"/>
      <c r="D66" s="18"/>
      <c r="E66" s="18"/>
      <c r="F66" s="88"/>
      <c r="G66" s="89"/>
      <c r="H66" s="90"/>
      <c r="I66" s="91"/>
      <c r="J66" s="88"/>
      <c r="K66" s="51" t="s">
        <v>720</v>
      </c>
    </row>
    <row r="67" ht="22.5" customHeight="1">
      <c r="A67" s="51" t="s">
        <v>651</v>
      </c>
      <c r="B67" s="86"/>
      <c r="C67" s="86"/>
      <c r="D67" s="18"/>
      <c r="E67" s="18"/>
      <c r="F67" s="88"/>
      <c r="G67" s="89"/>
      <c r="H67" s="90"/>
      <c r="I67" s="91"/>
      <c r="J67" s="88"/>
      <c r="K67" s="51" t="s">
        <v>720</v>
      </c>
    </row>
    <row r="68" ht="22.5" customHeight="1">
      <c r="A68" s="51" t="s">
        <v>652</v>
      </c>
      <c r="B68" s="86"/>
      <c r="C68" s="86"/>
      <c r="D68" s="18"/>
      <c r="E68" s="18"/>
      <c r="F68" s="88"/>
      <c r="G68" s="89"/>
      <c r="H68" s="90"/>
      <c r="I68" s="91"/>
      <c r="J68" s="88"/>
      <c r="K68" s="51" t="s">
        <v>720</v>
      </c>
    </row>
    <row r="69" ht="22.5" customHeight="1">
      <c r="A69" s="51" t="s">
        <v>653</v>
      </c>
      <c r="B69" s="86"/>
      <c r="C69" s="86"/>
      <c r="D69" s="18"/>
      <c r="E69" s="18"/>
      <c r="F69" s="88"/>
      <c r="G69" s="89"/>
      <c r="H69" s="90"/>
      <c r="I69" s="91"/>
      <c r="J69" s="88"/>
      <c r="K69" s="51" t="s">
        <v>720</v>
      </c>
    </row>
    <row r="70" ht="22.5" customHeight="1">
      <c r="A70" s="51" t="s">
        <v>654</v>
      </c>
      <c r="B70" s="86"/>
      <c r="C70" s="86"/>
      <c r="D70" s="18"/>
      <c r="E70" s="18"/>
      <c r="F70" s="88"/>
      <c r="G70" s="89"/>
      <c r="H70" s="90"/>
      <c r="I70" s="91"/>
      <c r="J70" s="88"/>
      <c r="K70" s="51" t="s">
        <v>720</v>
      </c>
    </row>
    <row r="71" ht="22.5" customHeight="1">
      <c r="A71" s="51" t="s">
        <v>655</v>
      </c>
      <c r="B71" s="86"/>
      <c r="C71" s="86"/>
      <c r="D71" s="18"/>
      <c r="E71" s="18"/>
      <c r="F71" s="88"/>
      <c r="G71" s="89"/>
      <c r="H71" s="90"/>
      <c r="I71" s="91"/>
      <c r="J71" s="88"/>
      <c r="K71" s="51" t="s">
        <v>720</v>
      </c>
    </row>
    <row r="72" ht="22.5" customHeight="1">
      <c r="A72" s="51" t="s">
        <v>656</v>
      </c>
      <c r="B72" s="86"/>
      <c r="C72" s="86"/>
      <c r="D72" s="18"/>
      <c r="E72" s="18"/>
      <c r="F72" s="88"/>
      <c r="G72" s="89"/>
      <c r="H72" s="90"/>
      <c r="I72" s="91"/>
      <c r="J72" s="88"/>
      <c r="K72" s="51" t="s">
        <v>720</v>
      </c>
    </row>
    <row r="73" ht="22.5" customHeight="1">
      <c r="A73" s="51" t="s">
        <v>657</v>
      </c>
      <c r="B73" s="86"/>
      <c r="C73" s="86"/>
      <c r="D73" s="18"/>
      <c r="E73" s="18"/>
      <c r="F73" s="88"/>
      <c r="G73" s="89"/>
      <c r="H73" s="90"/>
      <c r="I73" s="91"/>
      <c r="J73" s="88"/>
      <c r="K73" s="51" t="s">
        <v>720</v>
      </c>
    </row>
    <row r="74" ht="22.5" customHeight="1">
      <c r="A74" s="51" t="s">
        <v>658</v>
      </c>
      <c r="B74" s="86"/>
      <c r="C74" s="86"/>
      <c r="D74" s="18"/>
      <c r="E74" s="18"/>
      <c r="F74" s="88"/>
      <c r="G74" s="89"/>
      <c r="H74" s="90"/>
      <c r="I74" s="91"/>
      <c r="J74" s="88"/>
      <c r="K74" s="51" t="s">
        <v>720</v>
      </c>
    </row>
    <row r="75" ht="22.5" customHeight="1">
      <c r="A75" s="51" t="s">
        <v>659</v>
      </c>
      <c r="B75" s="86"/>
      <c r="C75" s="86"/>
      <c r="D75" s="18"/>
      <c r="E75" s="18"/>
      <c r="F75" s="88"/>
      <c r="G75" s="89"/>
      <c r="H75" s="90"/>
      <c r="I75" s="91"/>
      <c r="J75" s="88"/>
      <c r="K75" s="51" t="s">
        <v>720</v>
      </c>
    </row>
    <row r="76" ht="22.5" customHeight="1">
      <c r="A76" s="51" t="s">
        <v>660</v>
      </c>
      <c r="B76" s="86"/>
      <c r="C76" s="86"/>
      <c r="D76" s="18"/>
      <c r="E76" s="18"/>
      <c r="F76" s="88"/>
      <c r="G76" s="89"/>
      <c r="H76" s="90"/>
      <c r="I76" s="91"/>
      <c r="J76" s="88"/>
      <c r="K76" s="51" t="s">
        <v>720</v>
      </c>
    </row>
    <row r="77" ht="22.5" customHeight="1">
      <c r="A77" s="51" t="s">
        <v>661</v>
      </c>
      <c r="B77" s="86"/>
      <c r="C77" s="86"/>
      <c r="D77" s="18"/>
      <c r="E77" s="18"/>
      <c r="F77" s="88"/>
      <c r="G77" s="89"/>
      <c r="H77" s="90"/>
      <c r="I77" s="91"/>
      <c r="J77" s="88"/>
      <c r="K77" s="51" t="s">
        <v>720</v>
      </c>
    </row>
    <row r="78" ht="22.5" customHeight="1">
      <c r="A78" s="51" t="s">
        <v>662</v>
      </c>
      <c r="B78" s="86"/>
      <c r="C78" s="86"/>
      <c r="D78" s="18"/>
      <c r="E78" s="18"/>
      <c r="F78" s="88"/>
      <c r="G78" s="89"/>
      <c r="H78" s="90"/>
      <c r="I78" s="91"/>
      <c r="J78" s="88"/>
      <c r="K78" s="51" t="s">
        <v>720</v>
      </c>
    </row>
    <row r="79" ht="22.5" customHeight="1">
      <c r="A79" s="51" t="s">
        <v>663</v>
      </c>
      <c r="B79" s="86"/>
      <c r="C79" s="86"/>
      <c r="D79" s="18"/>
      <c r="E79" s="18"/>
      <c r="F79" s="88"/>
      <c r="G79" s="89"/>
      <c r="H79" s="90"/>
      <c r="I79" s="91"/>
      <c r="J79" s="88"/>
      <c r="K79" s="51" t="s">
        <v>720</v>
      </c>
    </row>
    <row r="80" ht="22.5" customHeight="1">
      <c r="A80" s="51" t="s">
        <v>664</v>
      </c>
      <c r="B80" s="86"/>
      <c r="C80" s="86"/>
      <c r="D80" s="18"/>
      <c r="E80" s="18"/>
      <c r="F80" s="88"/>
      <c r="G80" s="89"/>
      <c r="H80" s="90"/>
      <c r="I80" s="91"/>
      <c r="J80" s="88"/>
      <c r="K80" s="51" t="s">
        <v>720</v>
      </c>
    </row>
    <row r="81" ht="22.5" customHeight="1">
      <c r="A81" s="51" t="s">
        <v>665</v>
      </c>
      <c r="B81" s="86"/>
      <c r="C81" s="86"/>
      <c r="D81" s="18"/>
      <c r="E81" s="18"/>
      <c r="F81" s="88"/>
      <c r="G81" s="89"/>
      <c r="H81" s="90"/>
      <c r="I81" s="91"/>
      <c r="J81" s="88"/>
      <c r="K81" s="51" t="s">
        <v>720</v>
      </c>
    </row>
    <row r="82" ht="22.5" customHeight="1">
      <c r="A82" s="51" t="s">
        <v>665</v>
      </c>
      <c r="B82" s="86"/>
      <c r="C82" s="86"/>
      <c r="D82" s="18"/>
      <c r="E82" s="18"/>
      <c r="F82" s="88"/>
      <c r="G82" s="89"/>
      <c r="H82" s="90"/>
      <c r="I82" s="91"/>
      <c r="J82" s="88"/>
      <c r="K82" s="51" t="s">
        <v>720</v>
      </c>
    </row>
    <row r="83" ht="22.5" customHeight="1">
      <c r="A83" s="51" t="s">
        <v>791</v>
      </c>
      <c r="B83" s="86"/>
      <c r="C83" s="86"/>
      <c r="D83" s="18"/>
      <c r="E83" s="18"/>
      <c r="F83" s="88"/>
      <c r="G83" s="89"/>
      <c r="H83" s="90"/>
      <c r="I83" s="91"/>
      <c r="J83" s="88"/>
      <c r="K83" s="51" t="s">
        <v>720</v>
      </c>
    </row>
    <row r="84" ht="22.5" customHeight="1">
      <c r="A84" s="51" t="s">
        <v>792</v>
      </c>
      <c r="B84" s="86"/>
      <c r="C84" s="86"/>
      <c r="D84" s="18"/>
      <c r="E84" s="18"/>
      <c r="F84" s="88"/>
      <c r="G84" s="89"/>
      <c r="H84" s="90"/>
      <c r="I84" s="91"/>
      <c r="J84" s="88"/>
      <c r="K84" s="51" t="s">
        <v>720</v>
      </c>
    </row>
    <row r="85" ht="22.5" customHeight="1">
      <c r="A85" s="51" t="s">
        <v>793</v>
      </c>
      <c r="B85" s="86"/>
      <c r="C85" s="86"/>
      <c r="D85" s="18"/>
      <c r="E85" s="18"/>
      <c r="F85" s="88"/>
      <c r="G85" s="89"/>
      <c r="H85" s="90"/>
      <c r="I85" s="91"/>
      <c r="J85" s="88"/>
      <c r="K85" s="51" t="s">
        <v>720</v>
      </c>
    </row>
    <row r="86" ht="22.5" customHeight="1">
      <c r="A86" s="51" t="s">
        <v>794</v>
      </c>
      <c r="B86" s="86"/>
      <c r="C86" s="86"/>
      <c r="D86" s="18"/>
      <c r="E86" s="18"/>
      <c r="F86" s="88"/>
      <c r="G86" s="89"/>
      <c r="H86" s="90"/>
      <c r="I86" s="91"/>
      <c r="J86" s="88"/>
      <c r="K86" s="51" t="s">
        <v>720</v>
      </c>
    </row>
    <row r="87" ht="22.5" customHeight="1">
      <c r="A87" s="51" t="s">
        <v>795</v>
      </c>
      <c r="B87" s="86"/>
      <c r="C87" s="86"/>
      <c r="D87" s="18"/>
      <c r="E87" s="18"/>
      <c r="F87" s="88"/>
      <c r="G87" s="89"/>
      <c r="H87" s="90"/>
      <c r="I87" s="91"/>
      <c r="J87" s="88"/>
      <c r="K87" s="51" t="s">
        <v>720</v>
      </c>
    </row>
    <row r="88" ht="22.5" customHeight="1">
      <c r="A88" s="51" t="s">
        <v>796</v>
      </c>
      <c r="B88" s="86"/>
      <c r="C88" s="86"/>
      <c r="D88" s="18"/>
      <c r="E88" s="18"/>
      <c r="F88" s="88"/>
      <c r="G88" s="89"/>
      <c r="H88" s="90"/>
      <c r="I88" s="91"/>
      <c r="J88" s="88"/>
      <c r="K88" s="51" t="s">
        <v>720</v>
      </c>
    </row>
    <row r="89" ht="22.5" customHeight="1">
      <c r="A89" s="51" t="s">
        <v>797</v>
      </c>
      <c r="B89" s="86"/>
      <c r="C89" s="86"/>
      <c r="D89" s="18"/>
      <c r="E89" s="18"/>
      <c r="F89" s="88"/>
      <c r="G89" s="89"/>
      <c r="H89" s="90"/>
      <c r="I89" s="91"/>
      <c r="J89" s="88"/>
      <c r="K89" s="51" t="s">
        <v>720</v>
      </c>
    </row>
    <row r="90" ht="22.5" customHeight="1">
      <c r="A90" s="51" t="s">
        <v>798</v>
      </c>
      <c r="B90" s="86"/>
      <c r="C90" s="86"/>
      <c r="D90" s="18"/>
      <c r="E90" s="18"/>
      <c r="F90" s="88"/>
      <c r="G90" s="89"/>
      <c r="H90" s="90"/>
      <c r="I90" s="91"/>
      <c r="J90" s="88"/>
      <c r="K90" s="51" t="s">
        <v>720</v>
      </c>
    </row>
    <row r="91" ht="22.5" customHeight="1">
      <c r="A91" s="51" t="s">
        <v>799</v>
      </c>
      <c r="B91" s="86"/>
      <c r="C91" s="86"/>
      <c r="D91" s="18"/>
      <c r="E91" s="18"/>
      <c r="F91" s="88"/>
      <c r="G91" s="89"/>
      <c r="H91" s="90"/>
      <c r="I91" s="91"/>
      <c r="J91" s="88"/>
      <c r="K91" s="51" t="s">
        <v>720</v>
      </c>
    </row>
    <row r="92" ht="22.5" customHeight="1">
      <c r="A92" s="51" t="s">
        <v>800</v>
      </c>
      <c r="B92" s="86"/>
      <c r="C92" s="86"/>
      <c r="D92" s="18"/>
      <c r="E92" s="18"/>
      <c r="F92" s="88"/>
      <c r="G92" s="89"/>
      <c r="H92" s="90"/>
      <c r="I92" s="91"/>
      <c r="J92" s="88"/>
      <c r="K92" s="51" t="s">
        <v>720</v>
      </c>
    </row>
    <row r="93" ht="22.5" customHeight="1">
      <c r="A93" s="51" t="s">
        <v>800</v>
      </c>
      <c r="B93" s="86"/>
      <c r="C93" s="86"/>
      <c r="D93" s="18"/>
      <c r="E93" s="18"/>
      <c r="F93" s="88"/>
      <c r="G93" s="89"/>
      <c r="H93" s="90"/>
      <c r="I93" s="91"/>
      <c r="J93" s="88"/>
      <c r="K93" s="51" t="s">
        <v>720</v>
      </c>
    </row>
    <row r="94" ht="22.5" customHeight="1">
      <c r="A94" s="51" t="s">
        <v>801</v>
      </c>
      <c r="B94" s="86"/>
      <c r="C94" s="86"/>
      <c r="D94" s="18"/>
      <c r="E94" s="18"/>
      <c r="F94" s="88"/>
      <c r="G94" s="89"/>
      <c r="H94" s="90"/>
      <c r="I94" s="91"/>
      <c r="J94" s="88"/>
      <c r="K94" s="51" t="s">
        <v>720</v>
      </c>
    </row>
    <row r="95" ht="22.5" customHeight="1">
      <c r="A95" s="51" t="s">
        <v>802</v>
      </c>
      <c r="B95" s="86"/>
      <c r="C95" s="86"/>
      <c r="D95" s="18"/>
      <c r="E95" s="18"/>
      <c r="F95" s="88"/>
      <c r="G95" s="89"/>
      <c r="H95" s="90"/>
      <c r="I95" s="91"/>
      <c r="J95" s="88"/>
      <c r="K95" s="51" t="s">
        <v>720</v>
      </c>
    </row>
    <row r="96" ht="22.5" customHeight="1">
      <c r="A96" s="51" t="s">
        <v>803</v>
      </c>
      <c r="B96" s="86"/>
      <c r="C96" s="86"/>
      <c r="D96" s="18"/>
      <c r="E96" s="18"/>
      <c r="F96" s="88"/>
      <c r="G96" s="89"/>
      <c r="H96" s="90"/>
      <c r="I96" s="91"/>
      <c r="J96" s="88"/>
      <c r="K96" s="51" t="s">
        <v>720</v>
      </c>
    </row>
    <row r="97" ht="22.5" customHeight="1">
      <c r="A97" s="51" t="s">
        <v>34</v>
      </c>
      <c r="B97" s="86"/>
      <c r="C97" s="86"/>
      <c r="D97" s="18"/>
      <c r="E97" s="18"/>
      <c r="F97" s="88"/>
      <c r="G97" s="89"/>
      <c r="H97" s="90"/>
      <c r="I97" s="91"/>
      <c r="J97" s="88"/>
      <c r="K97" s="51" t="s">
        <v>720</v>
      </c>
    </row>
    <row r="98" ht="22.5" customHeight="1">
      <c r="A98" s="51" t="s">
        <v>41</v>
      </c>
      <c r="B98" s="86"/>
      <c r="C98" s="86"/>
      <c r="D98" s="18"/>
      <c r="E98" s="18"/>
      <c r="F98" s="88"/>
      <c r="G98" s="89"/>
      <c r="H98" s="90"/>
      <c r="I98" s="91"/>
      <c r="J98" s="88"/>
      <c r="K98" s="51" t="s">
        <v>720</v>
      </c>
    </row>
    <row r="99" ht="22.5" customHeight="1">
      <c r="A99" s="51" t="s">
        <v>44</v>
      </c>
      <c r="B99" s="86"/>
      <c r="C99" s="86"/>
      <c r="D99" s="18"/>
      <c r="E99" s="18"/>
      <c r="F99" s="88"/>
      <c r="G99" s="89"/>
      <c r="H99" s="90"/>
      <c r="I99" s="91"/>
      <c r="J99" s="88"/>
      <c r="K99" s="51" t="s">
        <v>720</v>
      </c>
    </row>
    <row r="100" ht="22.5" customHeight="1">
      <c r="A100" s="51" t="s">
        <v>49</v>
      </c>
      <c r="B100" s="86"/>
      <c r="C100" s="86"/>
      <c r="D100" s="18"/>
      <c r="E100" s="18"/>
      <c r="F100" s="88"/>
      <c r="G100" s="89"/>
      <c r="H100" s="90"/>
      <c r="I100" s="91"/>
      <c r="J100" s="88"/>
      <c r="K100" s="51" t="s">
        <v>720</v>
      </c>
    </row>
    <row r="101" ht="22.5" customHeight="1">
      <c r="A101" s="51" t="s">
        <v>52</v>
      </c>
      <c r="B101" s="86"/>
      <c r="C101" s="86"/>
      <c r="D101" s="18"/>
      <c r="E101" s="18"/>
      <c r="F101" s="88"/>
      <c r="G101" s="89"/>
      <c r="H101" s="90"/>
      <c r="I101" s="91"/>
      <c r="J101" s="88"/>
      <c r="K101" s="51" t="s">
        <v>720</v>
      </c>
    </row>
    <row r="102" ht="22.5" customHeight="1">
      <c r="A102" s="51" t="s">
        <v>57</v>
      </c>
      <c r="B102" s="86"/>
      <c r="C102" s="86"/>
      <c r="D102" s="18"/>
      <c r="E102" s="18"/>
      <c r="F102" s="88"/>
      <c r="G102" s="89"/>
      <c r="H102" s="90"/>
      <c r="I102" s="91"/>
      <c r="J102" s="88"/>
      <c r="K102" s="51" t="s">
        <v>720</v>
      </c>
    </row>
    <row r="103" ht="22.5" customHeight="1">
      <c r="A103" s="51" t="s">
        <v>60</v>
      </c>
      <c r="B103" s="86"/>
      <c r="C103" s="86"/>
      <c r="D103" s="18"/>
      <c r="E103" s="18"/>
      <c r="F103" s="88"/>
      <c r="G103" s="89"/>
      <c r="H103" s="90"/>
      <c r="I103" s="91"/>
      <c r="J103" s="88"/>
      <c r="K103" s="51" t="s">
        <v>720</v>
      </c>
    </row>
    <row r="104" ht="22.5" customHeight="1">
      <c r="A104" s="51" t="s">
        <v>64</v>
      </c>
      <c r="B104" s="86"/>
      <c r="C104" s="86"/>
      <c r="D104" s="18"/>
      <c r="E104" s="18"/>
      <c r="F104" s="88"/>
      <c r="G104" s="89"/>
      <c r="H104" s="90"/>
      <c r="I104" s="91"/>
      <c r="J104" s="88"/>
      <c r="K104" s="51" t="s">
        <v>720</v>
      </c>
    </row>
    <row r="105" ht="22.5" customHeight="1">
      <c r="A105" s="51" t="s">
        <v>68</v>
      </c>
      <c r="B105" s="86"/>
      <c r="C105" s="86"/>
      <c r="D105" s="18"/>
      <c r="E105" s="18"/>
      <c r="F105" s="88"/>
      <c r="G105" s="89"/>
      <c r="H105" s="90"/>
      <c r="I105" s="91"/>
      <c r="J105" s="88"/>
      <c r="K105" s="51" t="s">
        <v>720</v>
      </c>
    </row>
    <row r="106" ht="22.5" customHeight="1">
      <c r="A106" s="51" t="s">
        <v>71</v>
      </c>
      <c r="B106" s="86"/>
      <c r="C106" s="86"/>
      <c r="D106" s="18"/>
      <c r="E106" s="18"/>
      <c r="F106" s="88"/>
      <c r="G106" s="89"/>
      <c r="H106" s="90"/>
      <c r="I106" s="91"/>
      <c r="J106" s="88"/>
      <c r="K106" s="51" t="s">
        <v>720</v>
      </c>
    </row>
    <row r="107" ht="22.5" customHeight="1">
      <c r="A107" s="51" t="s">
        <v>74</v>
      </c>
      <c r="B107" s="86"/>
      <c r="C107" s="86"/>
      <c r="D107" s="18"/>
      <c r="E107" s="18"/>
      <c r="F107" s="88"/>
      <c r="G107" s="89"/>
      <c r="H107" s="90"/>
      <c r="I107" s="91"/>
      <c r="J107" s="88"/>
      <c r="K107" s="51" t="s">
        <v>720</v>
      </c>
    </row>
    <row r="108" ht="22.5" customHeight="1">
      <c r="A108" s="51" t="s">
        <v>77</v>
      </c>
      <c r="B108" s="86"/>
      <c r="C108" s="86"/>
      <c r="D108" s="18"/>
      <c r="E108" s="18"/>
      <c r="F108" s="88"/>
      <c r="G108" s="89"/>
      <c r="H108" s="90"/>
      <c r="I108" s="91"/>
      <c r="J108" s="88"/>
      <c r="K108" s="51" t="s">
        <v>720</v>
      </c>
    </row>
    <row r="109" ht="22.5" customHeight="1">
      <c r="A109" s="51" t="s">
        <v>80</v>
      </c>
      <c r="B109" s="86"/>
      <c r="C109" s="86"/>
      <c r="D109" s="18"/>
      <c r="E109" s="18"/>
      <c r="F109" s="88"/>
      <c r="G109" s="89"/>
      <c r="H109" s="90"/>
      <c r="I109" s="91"/>
      <c r="J109" s="88"/>
      <c r="K109" s="51" t="s">
        <v>720</v>
      </c>
    </row>
    <row r="110" ht="22.5" customHeight="1">
      <c r="A110" s="51" t="s">
        <v>83</v>
      </c>
      <c r="B110" s="86"/>
      <c r="C110" s="86"/>
      <c r="D110" s="18"/>
      <c r="E110" s="18"/>
      <c r="F110" s="88"/>
      <c r="G110" s="89"/>
      <c r="H110" s="90"/>
      <c r="I110" s="91"/>
      <c r="J110" s="88"/>
      <c r="K110" s="51" t="s">
        <v>720</v>
      </c>
    </row>
    <row r="111" ht="22.5" customHeight="1">
      <c r="A111" s="51" t="s">
        <v>86</v>
      </c>
      <c r="B111" s="86"/>
      <c r="C111" s="86"/>
      <c r="D111" s="18"/>
      <c r="E111" s="18"/>
      <c r="F111" s="88"/>
      <c r="G111" s="89"/>
      <c r="H111" s="90"/>
      <c r="I111" s="91"/>
      <c r="J111" s="88"/>
      <c r="K111" s="51" t="s">
        <v>720</v>
      </c>
    </row>
    <row r="112" ht="22.5" customHeight="1">
      <c r="A112" s="51" t="s">
        <v>88</v>
      </c>
      <c r="B112" s="86"/>
      <c r="C112" s="86"/>
      <c r="D112" s="18"/>
      <c r="E112" s="18"/>
      <c r="F112" s="88"/>
      <c r="G112" s="89"/>
      <c r="H112" s="90"/>
      <c r="I112" s="91"/>
      <c r="J112" s="88"/>
      <c r="K112" s="51" t="s">
        <v>720</v>
      </c>
    </row>
    <row r="113" ht="22.5" customHeight="1">
      <c r="A113" s="51" t="s">
        <v>91</v>
      </c>
      <c r="B113" s="86"/>
      <c r="C113" s="86"/>
      <c r="D113" s="18"/>
      <c r="E113" s="18"/>
      <c r="F113" s="88"/>
      <c r="G113" s="89"/>
      <c r="H113" s="90"/>
      <c r="I113" s="91"/>
      <c r="J113" s="88"/>
      <c r="K113" s="51" t="s">
        <v>720</v>
      </c>
    </row>
    <row r="114" ht="22.5" customHeight="1">
      <c r="A114" s="51" t="s">
        <v>94</v>
      </c>
      <c r="B114" s="86"/>
      <c r="C114" s="86"/>
      <c r="D114" s="18"/>
      <c r="E114" s="18"/>
      <c r="F114" s="88"/>
      <c r="G114" s="89"/>
      <c r="H114" s="90"/>
      <c r="I114" s="91"/>
      <c r="J114" s="88"/>
      <c r="K114" s="51" t="s">
        <v>720</v>
      </c>
    </row>
    <row r="115" ht="22.5" customHeight="1">
      <c r="A115" s="51" t="s">
        <v>98</v>
      </c>
      <c r="B115" s="86"/>
      <c r="C115" s="86"/>
      <c r="D115" s="18"/>
      <c r="E115" s="18"/>
      <c r="F115" s="88"/>
      <c r="G115" s="89"/>
      <c r="H115" s="90"/>
      <c r="I115" s="91"/>
      <c r="J115" s="88"/>
      <c r="K115" s="51" t="s">
        <v>720</v>
      </c>
    </row>
  </sheetData>
  <dataValidations>
    <dataValidation type="list" allowBlank="1" sqref="F2:F115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15">
      <formula1>OR(NOT(ISERROR(DATEVALUE(G2))), AND(ISNUMBER(G2), LEFT(CELL("format", G2))="D"))</formula1>
    </dataValidation>
    <dataValidation type="custom" allowBlank="1" showDropDown="1" sqref="H2:I115">
      <formula1>AND(ISNUMBER(H2),(NOT(OR(NOT(ISERROR(DATEVALUE(H2))), AND(ISNUMBER(H2), LEFT(CELL("format", H2))="D")))))</formula1>
    </dataValidation>
    <dataValidation type="list" allowBlank="1" sqref="J2:J115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15 E2:E115 K2:K115"/>
  </dataValidations>
  <hyperlinks>
    <hyperlink r:id="rId4" ref="D2"/>
    <hyperlink r:id="rId5" ref="D3"/>
    <hyperlink r:id="rId6" ref="D4"/>
    <hyperlink r:id="rId7" ref="D5"/>
    <hyperlink r:id="rId8" ref="D6"/>
    <hyperlink r:id="rId9" ref="D7"/>
    <hyperlink r:id="rId10" ref="D8"/>
    <hyperlink r:id="rId11" ref="D9"/>
    <hyperlink r:id="rId12" ref="D10"/>
    <hyperlink r:id="rId13" ref="D11"/>
    <hyperlink r:id="rId14" ref="D12"/>
    <hyperlink r:id="rId15" ref="D13"/>
    <hyperlink r:id="rId16" ref="D14"/>
    <hyperlink r:id="rId17" ref="D15"/>
    <hyperlink r:id="rId18" ref="D16"/>
    <hyperlink r:id="rId19" ref="D17"/>
    <hyperlink r:id="rId20" ref="D18"/>
    <hyperlink r:id="rId21" ref="D19"/>
    <hyperlink r:id="rId22" ref="D20"/>
    <hyperlink r:id="rId23" ref="D21"/>
    <hyperlink r:id="rId24" ref="D22"/>
    <hyperlink r:id="rId25" ref="D23"/>
    <hyperlink r:id="rId26" ref="D24"/>
    <hyperlink r:id="rId27" ref="D25"/>
    <hyperlink r:id="rId28" ref="D27"/>
    <hyperlink r:id="rId29" ref="D28"/>
    <hyperlink r:id="rId30" ref="D29"/>
    <hyperlink r:id="rId31" ref="D30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32"/>
  <legacyDrawing r:id="rId33"/>
  <tableParts count="1">
    <tablePart r:id="rId3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5.38"/>
    <col customWidth="1" min="3" max="3" width="20.63"/>
    <col customWidth="1" min="4" max="4" width="18.88"/>
    <col customWidth="1" min="5" max="5" width="30.88"/>
    <col customWidth="1" min="6" max="6" width="37.75"/>
    <col customWidth="1" min="7" max="7" width="27.38"/>
    <col customWidth="1" min="8" max="8" width="24.75"/>
    <col customWidth="1" min="9" max="9" width="25.13"/>
    <col customWidth="1" min="10" max="10" width="28.63"/>
    <col customWidth="1" min="11" max="11" width="23.25"/>
  </cols>
  <sheetData>
    <row r="1" ht="22.5" customHeight="1">
      <c r="A1" s="14" t="s">
        <v>23</v>
      </c>
      <c r="B1" s="14" t="s">
        <v>24</v>
      </c>
      <c r="C1" s="14" t="s">
        <v>25</v>
      </c>
      <c r="D1" s="14" t="s">
        <v>26</v>
      </c>
      <c r="E1" s="14" t="s">
        <v>27</v>
      </c>
      <c r="F1" s="14" t="s">
        <v>28</v>
      </c>
      <c r="G1" s="14" t="s">
        <v>29</v>
      </c>
      <c r="H1" s="14" t="s">
        <v>30</v>
      </c>
      <c r="I1" s="14" t="s">
        <v>31</v>
      </c>
      <c r="J1" s="14" t="s">
        <v>32</v>
      </c>
      <c r="K1" s="14" t="s">
        <v>33</v>
      </c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ht="22.5" customHeight="1">
      <c r="A2" s="51"/>
      <c r="B2" s="51" t="s">
        <v>804</v>
      </c>
      <c r="C2" s="51" t="s">
        <v>805</v>
      </c>
      <c r="D2" s="54" t="s">
        <v>572</v>
      </c>
      <c r="E2" s="18" t="s">
        <v>459</v>
      </c>
      <c r="F2" s="88" t="s">
        <v>47</v>
      </c>
      <c r="G2" s="89">
        <v>46111.0</v>
      </c>
      <c r="H2" s="90"/>
      <c r="I2" s="91"/>
      <c r="J2" s="88"/>
      <c r="K2" s="51" t="s">
        <v>806</v>
      </c>
    </row>
    <row r="3" ht="22.5" customHeight="1">
      <c r="A3" s="51"/>
      <c r="B3" s="51" t="s">
        <v>807</v>
      </c>
      <c r="C3" s="51" t="s">
        <v>808</v>
      </c>
      <c r="D3" s="54" t="s">
        <v>572</v>
      </c>
      <c r="E3" s="18" t="s">
        <v>459</v>
      </c>
      <c r="F3" s="88" t="s">
        <v>47</v>
      </c>
      <c r="G3" s="89">
        <v>46111.0</v>
      </c>
      <c r="H3" s="90"/>
      <c r="I3" s="91"/>
      <c r="J3" s="88"/>
      <c r="K3" s="51" t="s">
        <v>806</v>
      </c>
    </row>
    <row r="4" ht="22.5" customHeight="1">
      <c r="A4" s="51"/>
      <c r="B4" s="51" t="s">
        <v>809</v>
      </c>
      <c r="C4" s="51" t="s">
        <v>810</v>
      </c>
      <c r="D4" s="18" t="s">
        <v>811</v>
      </c>
      <c r="E4" s="18" t="s">
        <v>812</v>
      </c>
      <c r="F4" s="88" t="s">
        <v>140</v>
      </c>
      <c r="G4" s="89">
        <v>46100.0</v>
      </c>
      <c r="H4" s="90"/>
      <c r="I4" s="91"/>
      <c r="J4" s="88" t="s">
        <v>48</v>
      </c>
      <c r="K4" s="51" t="s">
        <v>806</v>
      </c>
    </row>
    <row r="5" ht="22.5" customHeight="1">
      <c r="A5" s="51"/>
      <c r="B5" s="51" t="s">
        <v>813</v>
      </c>
      <c r="C5" s="51" t="s">
        <v>814</v>
      </c>
      <c r="D5" s="18" t="s">
        <v>811</v>
      </c>
      <c r="E5" s="18" t="s">
        <v>459</v>
      </c>
      <c r="F5" s="88" t="s">
        <v>140</v>
      </c>
      <c r="G5" s="89">
        <v>46083.0</v>
      </c>
      <c r="H5" s="90"/>
      <c r="I5" s="91"/>
      <c r="J5" s="88" t="s">
        <v>815</v>
      </c>
      <c r="K5" s="51" t="s">
        <v>806</v>
      </c>
    </row>
    <row r="6" ht="22.5" customHeight="1">
      <c r="A6" s="51"/>
      <c r="B6" s="86" t="s">
        <v>816</v>
      </c>
      <c r="C6" s="86" t="s">
        <v>817</v>
      </c>
      <c r="D6" s="54" t="s">
        <v>572</v>
      </c>
      <c r="E6" s="18" t="s">
        <v>459</v>
      </c>
      <c r="F6" s="88" t="s">
        <v>140</v>
      </c>
      <c r="G6" s="89">
        <v>46079.0</v>
      </c>
      <c r="H6" s="90"/>
      <c r="I6" s="91"/>
      <c r="J6" s="88" t="s">
        <v>48</v>
      </c>
      <c r="K6" s="86" t="s">
        <v>806</v>
      </c>
    </row>
    <row r="7" ht="22.5" customHeight="1">
      <c r="A7" s="51"/>
      <c r="B7" s="86" t="s">
        <v>818</v>
      </c>
      <c r="C7" s="86" t="s">
        <v>819</v>
      </c>
      <c r="D7" s="54" t="s">
        <v>811</v>
      </c>
      <c r="E7" s="18" t="s">
        <v>459</v>
      </c>
      <c r="F7" s="88" t="s">
        <v>140</v>
      </c>
      <c r="G7" s="89">
        <v>46079.0</v>
      </c>
      <c r="H7" s="90"/>
      <c r="I7" s="91"/>
      <c r="J7" s="88" t="s">
        <v>39</v>
      </c>
      <c r="K7" s="86" t="s">
        <v>806</v>
      </c>
    </row>
    <row r="8" ht="22.5" customHeight="1">
      <c r="A8" s="51"/>
      <c r="B8" s="86" t="s">
        <v>820</v>
      </c>
      <c r="C8" s="86" t="s">
        <v>821</v>
      </c>
      <c r="D8" s="54" t="s">
        <v>811</v>
      </c>
      <c r="E8" s="18" t="s">
        <v>459</v>
      </c>
      <c r="F8" s="88" t="s">
        <v>140</v>
      </c>
      <c r="G8" s="89">
        <v>46079.0</v>
      </c>
      <c r="H8" s="90"/>
      <c r="I8" s="91"/>
      <c r="J8" s="88" t="s">
        <v>39</v>
      </c>
      <c r="K8" s="86" t="s">
        <v>806</v>
      </c>
    </row>
    <row r="9" ht="22.5" customHeight="1">
      <c r="A9" s="51"/>
      <c r="B9" s="86" t="s">
        <v>822</v>
      </c>
      <c r="C9" s="86" t="s">
        <v>823</v>
      </c>
      <c r="D9" s="54" t="s">
        <v>811</v>
      </c>
      <c r="E9" s="18" t="s">
        <v>459</v>
      </c>
      <c r="F9" s="88" t="s">
        <v>140</v>
      </c>
      <c r="G9" s="89">
        <v>46079.0</v>
      </c>
      <c r="H9" s="90"/>
      <c r="I9" s="91"/>
      <c r="J9" s="88" t="s">
        <v>39</v>
      </c>
      <c r="K9" s="86" t="s">
        <v>806</v>
      </c>
    </row>
    <row r="10" ht="22.5" customHeight="1">
      <c r="A10" s="51"/>
      <c r="B10" s="86" t="s">
        <v>824</v>
      </c>
      <c r="C10" s="86" t="s">
        <v>825</v>
      </c>
      <c r="D10" s="54" t="s">
        <v>551</v>
      </c>
      <c r="E10" s="18" t="s">
        <v>459</v>
      </c>
      <c r="F10" s="88" t="s">
        <v>140</v>
      </c>
      <c r="G10" s="89">
        <v>46078.0</v>
      </c>
      <c r="H10" s="90"/>
      <c r="I10" s="91"/>
      <c r="J10" s="88" t="s">
        <v>97</v>
      </c>
      <c r="K10" s="86" t="s">
        <v>806</v>
      </c>
    </row>
    <row r="11" ht="22.5" customHeight="1">
      <c r="A11" s="51"/>
      <c r="B11" s="86" t="s">
        <v>826</v>
      </c>
      <c r="C11" s="86" t="s">
        <v>827</v>
      </c>
      <c r="D11" s="54" t="s">
        <v>782</v>
      </c>
      <c r="E11" s="18" t="s">
        <v>459</v>
      </c>
      <c r="F11" s="88" t="s">
        <v>140</v>
      </c>
      <c r="G11" s="89">
        <v>46077.0</v>
      </c>
      <c r="H11" s="90"/>
      <c r="I11" s="91"/>
      <c r="J11" s="88" t="s">
        <v>676</v>
      </c>
      <c r="K11" s="86" t="s">
        <v>806</v>
      </c>
    </row>
    <row r="12" ht="22.5" customHeight="1">
      <c r="A12" s="51"/>
      <c r="B12" s="86" t="s">
        <v>828</v>
      </c>
      <c r="C12" s="86" t="s">
        <v>829</v>
      </c>
      <c r="D12" s="54" t="s">
        <v>551</v>
      </c>
      <c r="E12" s="18" t="s">
        <v>459</v>
      </c>
      <c r="F12" s="88" t="s">
        <v>140</v>
      </c>
      <c r="G12" s="89">
        <v>46077.0</v>
      </c>
      <c r="H12" s="90"/>
      <c r="I12" s="91"/>
      <c r="J12" s="88" t="s">
        <v>39</v>
      </c>
      <c r="K12" s="86" t="s">
        <v>806</v>
      </c>
    </row>
    <row r="13" ht="22.5" customHeight="1">
      <c r="A13" s="51"/>
      <c r="B13" s="86" t="s">
        <v>830</v>
      </c>
      <c r="C13" s="86" t="s">
        <v>831</v>
      </c>
      <c r="D13" s="54" t="s">
        <v>551</v>
      </c>
      <c r="E13" s="18" t="s">
        <v>459</v>
      </c>
      <c r="F13" s="88" t="s">
        <v>140</v>
      </c>
      <c r="G13" s="89">
        <v>46077.0</v>
      </c>
      <c r="H13" s="90"/>
      <c r="I13" s="91"/>
      <c r="J13" s="88" t="s">
        <v>747</v>
      </c>
      <c r="K13" s="86" t="s">
        <v>806</v>
      </c>
    </row>
    <row r="14" ht="22.5" customHeight="1">
      <c r="A14" s="51"/>
      <c r="B14" s="86" t="s">
        <v>832</v>
      </c>
      <c r="C14" s="86" t="s">
        <v>833</v>
      </c>
      <c r="D14" s="54" t="s">
        <v>541</v>
      </c>
      <c r="E14" s="18" t="s">
        <v>459</v>
      </c>
      <c r="F14" s="88" t="s">
        <v>140</v>
      </c>
      <c r="G14" s="89">
        <v>46077.0</v>
      </c>
      <c r="H14" s="90"/>
      <c r="I14" s="91"/>
      <c r="J14" s="88" t="s">
        <v>815</v>
      </c>
      <c r="K14" s="86" t="s">
        <v>806</v>
      </c>
    </row>
    <row r="15" ht="22.5" customHeight="1">
      <c r="A15" s="51"/>
      <c r="B15" s="86" t="s">
        <v>834</v>
      </c>
      <c r="C15" s="86" t="s">
        <v>835</v>
      </c>
      <c r="D15" s="54" t="s">
        <v>572</v>
      </c>
      <c r="E15" s="18" t="s">
        <v>459</v>
      </c>
      <c r="F15" s="88" t="s">
        <v>140</v>
      </c>
      <c r="G15" s="89">
        <v>46077.0</v>
      </c>
      <c r="H15" s="90"/>
      <c r="I15" s="91"/>
      <c r="J15" s="88" t="s">
        <v>747</v>
      </c>
      <c r="K15" s="86" t="s">
        <v>806</v>
      </c>
    </row>
    <row r="16" ht="22.5" customHeight="1">
      <c r="A16" s="51"/>
      <c r="B16" s="86" t="s">
        <v>836</v>
      </c>
      <c r="C16" s="86" t="s">
        <v>837</v>
      </c>
      <c r="D16" s="18"/>
      <c r="E16" s="18" t="s">
        <v>459</v>
      </c>
      <c r="F16" s="88" t="s">
        <v>140</v>
      </c>
      <c r="G16" s="89">
        <v>46077.0</v>
      </c>
      <c r="H16" s="90"/>
      <c r="I16" s="91"/>
      <c r="J16" s="88" t="s">
        <v>747</v>
      </c>
      <c r="K16" s="86" t="s">
        <v>806</v>
      </c>
    </row>
    <row r="17" ht="22.5" customHeight="1">
      <c r="A17" s="51"/>
      <c r="B17" s="86" t="s">
        <v>838</v>
      </c>
      <c r="C17" s="86" t="s">
        <v>839</v>
      </c>
      <c r="D17" s="54" t="s">
        <v>811</v>
      </c>
      <c r="E17" s="18" t="s">
        <v>459</v>
      </c>
      <c r="F17" s="88" t="s">
        <v>140</v>
      </c>
      <c r="G17" s="89">
        <v>46077.0</v>
      </c>
      <c r="H17" s="90"/>
      <c r="I17" s="91"/>
      <c r="J17" s="88" t="s">
        <v>747</v>
      </c>
      <c r="K17" s="86" t="s">
        <v>806</v>
      </c>
    </row>
    <row r="18" ht="22.5" customHeight="1">
      <c r="A18" s="51"/>
      <c r="B18" s="86" t="s">
        <v>840</v>
      </c>
      <c r="C18" s="86" t="s">
        <v>841</v>
      </c>
      <c r="D18" s="54" t="s">
        <v>551</v>
      </c>
      <c r="E18" s="18" t="s">
        <v>459</v>
      </c>
      <c r="F18" s="88" t="s">
        <v>140</v>
      </c>
      <c r="G18" s="89">
        <v>46076.0</v>
      </c>
      <c r="H18" s="90"/>
      <c r="I18" s="91"/>
      <c r="J18" s="88" t="s">
        <v>39</v>
      </c>
      <c r="K18" s="86" t="s">
        <v>806</v>
      </c>
    </row>
    <row r="19" ht="22.5" customHeight="1">
      <c r="A19" s="51"/>
      <c r="B19" s="86" t="s">
        <v>842</v>
      </c>
      <c r="C19" s="86" t="s">
        <v>843</v>
      </c>
      <c r="D19" s="54" t="s">
        <v>782</v>
      </c>
      <c r="E19" s="18" t="s">
        <v>459</v>
      </c>
      <c r="F19" s="88" t="s">
        <v>140</v>
      </c>
      <c r="G19" s="89">
        <v>46073.0</v>
      </c>
      <c r="H19" s="90"/>
      <c r="I19" s="91"/>
      <c r="J19" s="88" t="s">
        <v>97</v>
      </c>
      <c r="K19" s="86" t="s">
        <v>806</v>
      </c>
    </row>
    <row r="20" ht="22.5" customHeight="1">
      <c r="A20" s="16" t="s">
        <v>189</v>
      </c>
      <c r="B20" s="2" t="s">
        <v>844</v>
      </c>
      <c r="C20" s="86" t="s">
        <v>494</v>
      </c>
      <c r="D20" s="54" t="s">
        <v>811</v>
      </c>
      <c r="E20" s="18" t="s">
        <v>459</v>
      </c>
      <c r="F20" s="88" t="s">
        <v>47</v>
      </c>
      <c r="G20" s="89">
        <v>46072.0</v>
      </c>
      <c r="H20" s="90"/>
      <c r="I20" s="91"/>
      <c r="J20" s="88" t="s">
        <v>39</v>
      </c>
      <c r="K20" s="86" t="s">
        <v>806</v>
      </c>
    </row>
    <row r="21" ht="22.5" customHeight="1">
      <c r="A21" s="16" t="s">
        <v>185</v>
      </c>
      <c r="B21" s="86" t="s">
        <v>845</v>
      </c>
      <c r="C21" s="86" t="s">
        <v>494</v>
      </c>
      <c r="D21" s="54" t="s">
        <v>561</v>
      </c>
      <c r="E21" s="18" t="s">
        <v>459</v>
      </c>
      <c r="F21" s="88" t="s">
        <v>491</v>
      </c>
      <c r="G21" s="89">
        <v>46071.0</v>
      </c>
      <c r="H21" s="90"/>
      <c r="I21" s="91"/>
      <c r="J21" s="88" t="s">
        <v>39</v>
      </c>
      <c r="K21" s="86" t="s">
        <v>806</v>
      </c>
    </row>
    <row r="22" ht="22.5" customHeight="1">
      <c r="A22" s="16" t="s">
        <v>187</v>
      </c>
      <c r="B22" s="86" t="s">
        <v>846</v>
      </c>
      <c r="C22" s="86" t="s">
        <v>847</v>
      </c>
      <c r="D22" s="54" t="s">
        <v>572</v>
      </c>
      <c r="E22" s="18" t="s">
        <v>459</v>
      </c>
      <c r="F22" s="88" t="s">
        <v>140</v>
      </c>
      <c r="G22" s="89">
        <v>46071.0</v>
      </c>
      <c r="H22" s="90"/>
      <c r="I22" s="91"/>
      <c r="J22" s="88" t="s">
        <v>524</v>
      </c>
      <c r="K22" s="86" t="s">
        <v>806</v>
      </c>
    </row>
    <row r="23" ht="22.5" customHeight="1">
      <c r="A23" s="16" t="s">
        <v>156</v>
      </c>
      <c r="B23" s="86" t="s">
        <v>848</v>
      </c>
      <c r="C23" s="86" t="s">
        <v>808</v>
      </c>
      <c r="D23" s="54" t="s">
        <v>811</v>
      </c>
      <c r="E23" s="18" t="s">
        <v>849</v>
      </c>
      <c r="F23" s="88" t="s">
        <v>140</v>
      </c>
      <c r="G23" s="89">
        <v>46070.0</v>
      </c>
      <c r="H23" s="90"/>
      <c r="I23" s="91"/>
      <c r="J23" s="88" t="s">
        <v>747</v>
      </c>
      <c r="K23" s="86" t="s">
        <v>806</v>
      </c>
    </row>
    <row r="24" ht="22.5" customHeight="1">
      <c r="A24" s="16" t="s">
        <v>160</v>
      </c>
      <c r="B24" s="86" t="s">
        <v>850</v>
      </c>
      <c r="C24" s="86" t="s">
        <v>851</v>
      </c>
      <c r="D24" s="54" t="s">
        <v>852</v>
      </c>
      <c r="E24" s="18" t="s">
        <v>459</v>
      </c>
      <c r="F24" s="88" t="s">
        <v>140</v>
      </c>
      <c r="G24" s="89">
        <v>46070.0</v>
      </c>
      <c r="H24" s="90"/>
      <c r="I24" s="91"/>
      <c r="J24" s="88" t="s">
        <v>39</v>
      </c>
      <c r="K24" s="86" t="s">
        <v>806</v>
      </c>
    </row>
    <row r="25" ht="22.5" customHeight="1">
      <c r="A25" s="16" t="s">
        <v>163</v>
      </c>
      <c r="B25" s="86" t="s">
        <v>853</v>
      </c>
      <c r="C25" s="86" t="s">
        <v>854</v>
      </c>
      <c r="D25" s="54" t="s">
        <v>855</v>
      </c>
      <c r="E25" s="18" t="s">
        <v>459</v>
      </c>
      <c r="F25" s="88" t="s">
        <v>140</v>
      </c>
      <c r="G25" s="89">
        <v>46070.0</v>
      </c>
      <c r="H25" s="90"/>
      <c r="I25" s="91"/>
      <c r="J25" s="88" t="s">
        <v>97</v>
      </c>
      <c r="K25" s="86" t="s">
        <v>806</v>
      </c>
    </row>
    <row r="26" ht="22.5" customHeight="1">
      <c r="A26" s="16" t="s">
        <v>165</v>
      </c>
      <c r="B26" s="86" t="s">
        <v>856</v>
      </c>
      <c r="C26" s="86" t="s">
        <v>857</v>
      </c>
      <c r="D26" s="18" t="s">
        <v>811</v>
      </c>
      <c r="E26" s="18" t="s">
        <v>459</v>
      </c>
      <c r="F26" s="88" t="s">
        <v>140</v>
      </c>
      <c r="G26" s="89">
        <v>46070.0</v>
      </c>
      <c r="H26" s="90"/>
      <c r="I26" s="91"/>
      <c r="J26" s="88" t="s">
        <v>97</v>
      </c>
      <c r="K26" s="86" t="s">
        <v>806</v>
      </c>
    </row>
    <row r="27" ht="22.5" customHeight="1">
      <c r="A27" s="16" t="s">
        <v>171</v>
      </c>
      <c r="B27" s="86" t="s">
        <v>858</v>
      </c>
      <c r="C27" s="86" t="s">
        <v>859</v>
      </c>
      <c r="D27" s="54" t="s">
        <v>860</v>
      </c>
      <c r="E27" s="18" t="s">
        <v>459</v>
      </c>
      <c r="F27" s="88" t="s">
        <v>140</v>
      </c>
      <c r="G27" s="89">
        <v>46070.0</v>
      </c>
      <c r="H27" s="90"/>
      <c r="I27" s="91"/>
      <c r="J27" s="88" t="s">
        <v>97</v>
      </c>
      <c r="K27" s="86" t="s">
        <v>806</v>
      </c>
    </row>
    <row r="28" ht="22.5" customHeight="1">
      <c r="A28" s="16" t="s">
        <v>173</v>
      </c>
      <c r="B28" s="86" t="s">
        <v>861</v>
      </c>
      <c r="C28" s="86" t="s">
        <v>862</v>
      </c>
      <c r="D28" s="54" t="s">
        <v>811</v>
      </c>
      <c r="E28" s="18" t="s">
        <v>459</v>
      </c>
      <c r="F28" s="88" t="s">
        <v>140</v>
      </c>
      <c r="G28" s="89">
        <v>46070.0</v>
      </c>
      <c r="H28" s="90"/>
      <c r="I28" s="91"/>
      <c r="J28" s="88" t="s">
        <v>97</v>
      </c>
      <c r="K28" s="86" t="s">
        <v>806</v>
      </c>
    </row>
    <row r="29" ht="22.5" customHeight="1">
      <c r="A29" s="16" t="s">
        <v>863</v>
      </c>
      <c r="B29" s="86" t="s">
        <v>864</v>
      </c>
      <c r="C29" s="86" t="s">
        <v>865</v>
      </c>
      <c r="D29" s="54" t="s">
        <v>811</v>
      </c>
      <c r="E29" s="18" t="s">
        <v>849</v>
      </c>
      <c r="F29" s="88" t="s">
        <v>140</v>
      </c>
      <c r="G29" s="89">
        <v>46069.0</v>
      </c>
      <c r="H29" s="90"/>
      <c r="I29" s="91"/>
      <c r="J29" s="88" t="s">
        <v>747</v>
      </c>
      <c r="K29" s="86" t="s">
        <v>806</v>
      </c>
    </row>
    <row r="30" ht="22.5" customHeight="1">
      <c r="A30" s="16" t="s">
        <v>169</v>
      </c>
      <c r="B30" s="86" t="s">
        <v>866</v>
      </c>
      <c r="C30" s="86" t="s">
        <v>867</v>
      </c>
      <c r="D30" s="54" t="s">
        <v>572</v>
      </c>
      <c r="E30" s="18" t="s">
        <v>459</v>
      </c>
      <c r="F30" s="88" t="s">
        <v>47</v>
      </c>
      <c r="G30" s="89">
        <v>46066.0</v>
      </c>
      <c r="H30" s="90"/>
      <c r="I30" s="91"/>
      <c r="J30" s="88" t="s">
        <v>524</v>
      </c>
      <c r="K30" s="86" t="s">
        <v>806</v>
      </c>
    </row>
    <row r="31" ht="22.5" customHeight="1">
      <c r="A31" s="16" t="s">
        <v>119</v>
      </c>
      <c r="B31" s="86" t="s">
        <v>868</v>
      </c>
      <c r="C31" s="86" t="s">
        <v>869</v>
      </c>
      <c r="D31" s="54" t="s">
        <v>785</v>
      </c>
      <c r="E31" s="18" t="s">
        <v>459</v>
      </c>
      <c r="F31" s="88" t="s">
        <v>140</v>
      </c>
      <c r="G31" s="89">
        <v>46065.0</v>
      </c>
      <c r="H31" s="90"/>
      <c r="I31" s="91"/>
      <c r="J31" s="88" t="s">
        <v>48</v>
      </c>
      <c r="K31" s="86" t="s">
        <v>806</v>
      </c>
    </row>
    <row r="32" ht="22.5" customHeight="1">
      <c r="A32" s="16" t="s">
        <v>121</v>
      </c>
      <c r="B32" s="86" t="s">
        <v>870</v>
      </c>
      <c r="C32" s="86" t="s">
        <v>871</v>
      </c>
      <c r="D32" s="54" t="s">
        <v>811</v>
      </c>
      <c r="E32" s="18" t="s">
        <v>459</v>
      </c>
      <c r="F32" s="88" t="s">
        <v>140</v>
      </c>
      <c r="G32" s="89">
        <v>46065.0</v>
      </c>
      <c r="H32" s="90"/>
      <c r="I32" s="91"/>
      <c r="J32" s="88" t="s">
        <v>97</v>
      </c>
      <c r="K32" s="86" t="s">
        <v>806</v>
      </c>
    </row>
    <row r="33" ht="22.5" customHeight="1">
      <c r="A33" s="16" t="s">
        <v>124</v>
      </c>
      <c r="B33" s="51" t="s">
        <v>872</v>
      </c>
      <c r="C33" s="51" t="s">
        <v>873</v>
      </c>
      <c r="D33" s="54" t="s">
        <v>572</v>
      </c>
      <c r="E33" s="18" t="s">
        <v>459</v>
      </c>
      <c r="F33" s="88" t="s">
        <v>140</v>
      </c>
      <c r="G33" s="89">
        <v>46065.0</v>
      </c>
      <c r="H33" s="90"/>
      <c r="I33" s="91"/>
      <c r="J33" s="88" t="s">
        <v>747</v>
      </c>
      <c r="K33" s="51" t="s">
        <v>806</v>
      </c>
    </row>
    <row r="34" ht="22.5" customHeight="1">
      <c r="A34" s="16" t="s">
        <v>150</v>
      </c>
      <c r="B34" s="86" t="s">
        <v>874</v>
      </c>
      <c r="C34" s="86" t="s">
        <v>875</v>
      </c>
      <c r="D34" s="54" t="s">
        <v>811</v>
      </c>
      <c r="E34" s="18" t="s">
        <v>459</v>
      </c>
      <c r="F34" s="88" t="s">
        <v>140</v>
      </c>
      <c r="G34" s="89">
        <v>46065.0</v>
      </c>
      <c r="H34" s="90"/>
      <c r="I34" s="95" t="s">
        <v>876</v>
      </c>
      <c r="J34" s="88" t="s">
        <v>747</v>
      </c>
      <c r="K34" s="86" t="s">
        <v>806</v>
      </c>
    </row>
    <row r="35" ht="22.5" customHeight="1">
      <c r="A35" s="51"/>
      <c r="B35" s="86" t="s">
        <v>877</v>
      </c>
      <c r="C35" s="86" t="s">
        <v>878</v>
      </c>
      <c r="D35" s="18" t="s">
        <v>879</v>
      </c>
      <c r="E35" s="18" t="s">
        <v>459</v>
      </c>
      <c r="F35" s="88" t="s">
        <v>140</v>
      </c>
      <c r="G35" s="89">
        <v>46065.0</v>
      </c>
      <c r="H35" s="90"/>
      <c r="I35" s="91"/>
      <c r="J35" s="88" t="s">
        <v>747</v>
      </c>
      <c r="K35" s="86" t="s">
        <v>806</v>
      </c>
    </row>
    <row r="36" ht="22.5" customHeight="1">
      <c r="A36" s="16" t="s">
        <v>91</v>
      </c>
      <c r="B36" s="86" t="s">
        <v>880</v>
      </c>
      <c r="C36" s="86" t="s">
        <v>881</v>
      </c>
      <c r="D36" s="18"/>
      <c r="E36" s="18" t="s">
        <v>459</v>
      </c>
      <c r="F36" s="88" t="s">
        <v>140</v>
      </c>
      <c r="G36" s="89">
        <v>46064.0</v>
      </c>
      <c r="H36" s="90"/>
      <c r="I36" s="91"/>
      <c r="J36" s="88" t="s">
        <v>97</v>
      </c>
      <c r="K36" s="86" t="s">
        <v>806</v>
      </c>
    </row>
    <row r="37" ht="22.5" customHeight="1">
      <c r="A37" s="16" t="s">
        <v>94</v>
      </c>
      <c r="B37" s="86" t="s">
        <v>882</v>
      </c>
      <c r="C37" s="86" t="s">
        <v>883</v>
      </c>
      <c r="D37" s="54" t="s">
        <v>551</v>
      </c>
      <c r="E37" s="18" t="s">
        <v>459</v>
      </c>
      <c r="F37" s="88" t="s">
        <v>140</v>
      </c>
      <c r="G37" s="89">
        <v>46064.0</v>
      </c>
      <c r="H37" s="90"/>
      <c r="I37" s="91"/>
      <c r="J37" s="88" t="s">
        <v>747</v>
      </c>
      <c r="K37" s="86" t="s">
        <v>806</v>
      </c>
    </row>
    <row r="38" ht="22.5" customHeight="1">
      <c r="A38" s="16" t="s">
        <v>101</v>
      </c>
      <c r="B38" s="86" t="s">
        <v>884</v>
      </c>
      <c r="C38" s="86" t="s">
        <v>885</v>
      </c>
      <c r="D38" s="54" t="s">
        <v>811</v>
      </c>
      <c r="E38" s="18" t="s">
        <v>459</v>
      </c>
      <c r="F38" s="88" t="s">
        <v>140</v>
      </c>
      <c r="G38" s="89">
        <v>46064.0</v>
      </c>
      <c r="H38" s="90"/>
      <c r="I38" s="91"/>
      <c r="J38" s="88" t="s">
        <v>39</v>
      </c>
      <c r="K38" s="86" t="s">
        <v>806</v>
      </c>
    </row>
    <row r="39" ht="22.5" customHeight="1">
      <c r="A39" s="16" t="s">
        <v>104</v>
      </c>
      <c r="B39" s="86" t="s">
        <v>886</v>
      </c>
      <c r="C39" s="86" t="s">
        <v>887</v>
      </c>
      <c r="D39" s="54" t="s">
        <v>888</v>
      </c>
      <c r="E39" s="18" t="s">
        <v>889</v>
      </c>
      <c r="F39" s="88" t="s">
        <v>140</v>
      </c>
      <c r="G39" s="89">
        <v>46064.0</v>
      </c>
      <c r="H39" s="90"/>
      <c r="I39" s="91"/>
      <c r="J39" s="88" t="s">
        <v>39</v>
      </c>
      <c r="K39" s="86" t="s">
        <v>806</v>
      </c>
    </row>
    <row r="40" ht="22.5" customHeight="1">
      <c r="A40" s="51"/>
      <c r="B40" s="86" t="s">
        <v>890</v>
      </c>
      <c r="C40" s="86" t="s">
        <v>891</v>
      </c>
      <c r="D40" s="54" t="s">
        <v>860</v>
      </c>
      <c r="E40" s="18" t="s">
        <v>459</v>
      </c>
      <c r="F40" s="88" t="s">
        <v>140</v>
      </c>
      <c r="G40" s="89">
        <v>46064.0</v>
      </c>
      <c r="H40" s="90"/>
      <c r="I40" s="91"/>
      <c r="J40" s="88" t="s">
        <v>97</v>
      </c>
      <c r="K40" s="86" t="s">
        <v>806</v>
      </c>
    </row>
    <row r="41" ht="22.5" customHeight="1">
      <c r="A41" s="16" t="s">
        <v>77</v>
      </c>
      <c r="B41" s="86" t="s">
        <v>892</v>
      </c>
      <c r="C41" s="86" t="s">
        <v>893</v>
      </c>
      <c r="D41" s="54" t="s">
        <v>782</v>
      </c>
      <c r="E41" s="18" t="s">
        <v>459</v>
      </c>
      <c r="F41" s="88" t="s">
        <v>140</v>
      </c>
      <c r="G41" s="89">
        <v>46063.0</v>
      </c>
      <c r="H41" s="90"/>
      <c r="I41" s="91"/>
      <c r="J41" s="88" t="s">
        <v>48</v>
      </c>
      <c r="K41" s="86" t="s">
        <v>806</v>
      </c>
    </row>
    <row r="42" ht="22.5" customHeight="1">
      <c r="A42" s="16" t="s">
        <v>83</v>
      </c>
      <c r="B42" s="51" t="s">
        <v>894</v>
      </c>
      <c r="C42" s="51"/>
      <c r="D42" s="54" t="s">
        <v>895</v>
      </c>
      <c r="E42" s="18" t="s">
        <v>896</v>
      </c>
      <c r="F42" s="88" t="s">
        <v>140</v>
      </c>
      <c r="G42" s="89">
        <v>46063.0</v>
      </c>
      <c r="H42" s="90"/>
      <c r="I42" s="91"/>
      <c r="J42" s="88" t="s">
        <v>747</v>
      </c>
      <c r="K42" s="51" t="s">
        <v>806</v>
      </c>
    </row>
    <row r="43" ht="22.5" customHeight="1">
      <c r="A43" s="16" t="s">
        <v>86</v>
      </c>
      <c r="B43" s="86" t="s">
        <v>897</v>
      </c>
      <c r="C43" s="86" t="s">
        <v>898</v>
      </c>
      <c r="D43" s="54" t="s">
        <v>782</v>
      </c>
      <c r="E43" s="18" t="s">
        <v>459</v>
      </c>
      <c r="F43" s="88" t="s">
        <v>140</v>
      </c>
      <c r="G43" s="89">
        <v>46063.0</v>
      </c>
      <c r="H43" s="90"/>
      <c r="I43" s="91"/>
      <c r="J43" s="88" t="s">
        <v>747</v>
      </c>
      <c r="K43" s="86" t="s">
        <v>806</v>
      </c>
    </row>
    <row r="44" ht="22.5" customHeight="1">
      <c r="A44" s="16" t="s">
        <v>88</v>
      </c>
      <c r="B44" s="86" t="s">
        <v>899</v>
      </c>
      <c r="C44" s="86" t="s">
        <v>900</v>
      </c>
      <c r="D44" s="18" t="s">
        <v>901</v>
      </c>
      <c r="E44" s="18" t="s">
        <v>459</v>
      </c>
      <c r="F44" s="88" t="s">
        <v>140</v>
      </c>
      <c r="G44" s="89">
        <v>46063.0</v>
      </c>
      <c r="H44" s="90"/>
      <c r="I44" s="91"/>
      <c r="J44" s="88" t="s">
        <v>48</v>
      </c>
      <c r="K44" s="86" t="s">
        <v>806</v>
      </c>
    </row>
    <row r="45" ht="22.5" customHeight="1">
      <c r="A45" s="16" t="s">
        <v>107</v>
      </c>
      <c r="B45" s="86" t="s">
        <v>902</v>
      </c>
      <c r="C45" s="86" t="s">
        <v>903</v>
      </c>
      <c r="D45" s="54" t="s">
        <v>904</v>
      </c>
      <c r="E45" s="18" t="s">
        <v>459</v>
      </c>
      <c r="F45" s="88" t="s">
        <v>140</v>
      </c>
      <c r="G45" s="89">
        <v>46063.0</v>
      </c>
      <c r="H45" s="90"/>
      <c r="I45" s="95" t="s">
        <v>876</v>
      </c>
      <c r="J45" s="88" t="s">
        <v>524</v>
      </c>
      <c r="K45" s="86" t="s">
        <v>806</v>
      </c>
    </row>
    <row r="46" ht="22.5" customHeight="1">
      <c r="A46" s="16" t="s">
        <v>791</v>
      </c>
      <c r="B46" s="86" t="s">
        <v>905</v>
      </c>
      <c r="C46" s="86" t="s">
        <v>906</v>
      </c>
      <c r="D46" s="54" t="s">
        <v>551</v>
      </c>
      <c r="E46" s="18" t="s">
        <v>459</v>
      </c>
      <c r="F46" s="88" t="s">
        <v>460</v>
      </c>
      <c r="G46" s="89">
        <v>46062.0</v>
      </c>
      <c r="H46" s="90"/>
      <c r="I46" s="91"/>
      <c r="J46" s="88" t="s">
        <v>747</v>
      </c>
      <c r="K46" s="86" t="s">
        <v>806</v>
      </c>
    </row>
    <row r="47" ht="22.5" customHeight="1">
      <c r="A47" s="16" t="s">
        <v>792</v>
      </c>
      <c r="B47" s="86" t="s">
        <v>907</v>
      </c>
      <c r="C47" s="86" t="s">
        <v>908</v>
      </c>
      <c r="D47" s="54" t="s">
        <v>537</v>
      </c>
      <c r="E47" s="18" t="s">
        <v>459</v>
      </c>
      <c r="F47" s="88" t="s">
        <v>140</v>
      </c>
      <c r="G47" s="89">
        <v>46062.0</v>
      </c>
      <c r="H47" s="90"/>
      <c r="I47" s="91"/>
      <c r="J47" s="88" t="s">
        <v>48</v>
      </c>
      <c r="K47" s="86" t="s">
        <v>806</v>
      </c>
    </row>
    <row r="48" ht="22.5" customHeight="1">
      <c r="A48" s="16" t="s">
        <v>795</v>
      </c>
      <c r="B48" s="86" t="s">
        <v>909</v>
      </c>
      <c r="C48" s="86" t="s">
        <v>910</v>
      </c>
      <c r="D48" s="54" t="s">
        <v>811</v>
      </c>
      <c r="E48" s="18" t="s">
        <v>459</v>
      </c>
      <c r="F48" s="88" t="s">
        <v>140</v>
      </c>
      <c r="G48" s="89">
        <v>46062.0</v>
      </c>
      <c r="H48" s="90"/>
      <c r="I48" s="91"/>
      <c r="J48" s="88" t="s">
        <v>97</v>
      </c>
      <c r="K48" s="86" t="s">
        <v>806</v>
      </c>
    </row>
    <row r="49" ht="22.5" customHeight="1">
      <c r="A49" s="16" t="s">
        <v>799</v>
      </c>
      <c r="B49" s="86" t="s">
        <v>911</v>
      </c>
      <c r="C49" s="86" t="s">
        <v>912</v>
      </c>
      <c r="D49" s="54" t="s">
        <v>913</v>
      </c>
      <c r="E49" s="18" t="s">
        <v>459</v>
      </c>
      <c r="F49" s="88" t="s">
        <v>460</v>
      </c>
      <c r="G49" s="89">
        <v>46062.0</v>
      </c>
      <c r="H49" s="90"/>
      <c r="I49" s="91"/>
      <c r="J49" s="88" t="s">
        <v>97</v>
      </c>
      <c r="K49" s="86" t="s">
        <v>806</v>
      </c>
    </row>
    <row r="50" ht="22.5" customHeight="1">
      <c r="A50" s="16" t="s">
        <v>800</v>
      </c>
      <c r="B50" s="86" t="s">
        <v>914</v>
      </c>
      <c r="C50" s="86" t="s">
        <v>915</v>
      </c>
      <c r="D50" s="54" t="s">
        <v>811</v>
      </c>
      <c r="E50" s="18" t="s">
        <v>459</v>
      </c>
      <c r="F50" s="88" t="s">
        <v>140</v>
      </c>
      <c r="G50" s="89">
        <v>46062.0</v>
      </c>
      <c r="H50" s="90"/>
      <c r="I50" s="91"/>
      <c r="J50" s="88" t="s">
        <v>97</v>
      </c>
      <c r="K50" s="86" t="s">
        <v>806</v>
      </c>
    </row>
    <row r="51" ht="22.5" customHeight="1">
      <c r="A51" s="16" t="s">
        <v>34</v>
      </c>
      <c r="B51" s="86" t="s">
        <v>916</v>
      </c>
      <c r="C51" s="86" t="s">
        <v>917</v>
      </c>
      <c r="D51" s="54" t="s">
        <v>811</v>
      </c>
      <c r="E51" s="18" t="s">
        <v>459</v>
      </c>
      <c r="F51" s="88" t="s">
        <v>140</v>
      </c>
      <c r="G51" s="89">
        <v>46062.0</v>
      </c>
      <c r="H51" s="90"/>
      <c r="I51" s="91"/>
      <c r="J51" s="88" t="s">
        <v>747</v>
      </c>
      <c r="K51" s="86" t="s">
        <v>806</v>
      </c>
    </row>
    <row r="52" ht="22.5" customHeight="1">
      <c r="A52" s="16" t="s">
        <v>41</v>
      </c>
      <c r="B52" s="86" t="s">
        <v>918</v>
      </c>
      <c r="C52" s="86" t="s">
        <v>919</v>
      </c>
      <c r="D52" s="54" t="s">
        <v>551</v>
      </c>
      <c r="E52" s="18" t="s">
        <v>459</v>
      </c>
      <c r="F52" s="88" t="s">
        <v>140</v>
      </c>
      <c r="G52" s="89">
        <v>46062.0</v>
      </c>
      <c r="H52" s="90"/>
      <c r="I52" s="91"/>
      <c r="J52" s="88" t="s">
        <v>48</v>
      </c>
      <c r="K52" s="86" t="s">
        <v>806</v>
      </c>
    </row>
    <row r="53" ht="22.5" customHeight="1">
      <c r="A53" s="16" t="s">
        <v>44</v>
      </c>
      <c r="B53" s="51"/>
      <c r="C53" s="51" t="s">
        <v>920</v>
      </c>
      <c r="D53" s="54" t="s">
        <v>782</v>
      </c>
      <c r="E53" s="18" t="s">
        <v>459</v>
      </c>
      <c r="F53" s="88" t="s">
        <v>140</v>
      </c>
      <c r="G53" s="89">
        <v>46062.0</v>
      </c>
      <c r="H53" s="90"/>
      <c r="I53" s="91"/>
      <c r="J53" s="88" t="s">
        <v>747</v>
      </c>
      <c r="K53" s="51" t="s">
        <v>806</v>
      </c>
    </row>
    <row r="54" ht="22.5" customHeight="1">
      <c r="A54" s="16" t="s">
        <v>49</v>
      </c>
      <c r="B54" s="86" t="s">
        <v>921</v>
      </c>
      <c r="C54" s="86" t="s">
        <v>922</v>
      </c>
      <c r="D54" s="54" t="s">
        <v>811</v>
      </c>
      <c r="E54" s="18" t="s">
        <v>459</v>
      </c>
      <c r="F54" s="88" t="s">
        <v>140</v>
      </c>
      <c r="G54" s="89">
        <v>46062.0</v>
      </c>
      <c r="H54" s="90"/>
      <c r="I54" s="91"/>
      <c r="J54" s="88" t="s">
        <v>747</v>
      </c>
      <c r="K54" s="86" t="s">
        <v>806</v>
      </c>
    </row>
    <row r="55" ht="22.5" customHeight="1">
      <c r="A55" s="16" t="s">
        <v>52</v>
      </c>
      <c r="B55" s="86" t="s">
        <v>923</v>
      </c>
      <c r="C55" s="86" t="s">
        <v>924</v>
      </c>
      <c r="D55" s="54" t="s">
        <v>811</v>
      </c>
      <c r="E55" s="18" t="s">
        <v>459</v>
      </c>
      <c r="F55" s="88" t="s">
        <v>460</v>
      </c>
      <c r="G55" s="89">
        <v>46062.0</v>
      </c>
      <c r="H55" s="90"/>
      <c r="I55" s="91"/>
      <c r="J55" s="88" t="s">
        <v>97</v>
      </c>
      <c r="K55" s="86" t="s">
        <v>806</v>
      </c>
    </row>
    <row r="56" ht="22.5" customHeight="1">
      <c r="A56" s="16" t="s">
        <v>57</v>
      </c>
      <c r="B56" s="86" t="s">
        <v>925</v>
      </c>
      <c r="C56" s="86" t="s">
        <v>771</v>
      </c>
      <c r="D56" s="54" t="s">
        <v>772</v>
      </c>
      <c r="E56" s="18" t="s">
        <v>459</v>
      </c>
      <c r="F56" s="88" t="s">
        <v>140</v>
      </c>
      <c r="G56" s="89">
        <v>46062.0</v>
      </c>
      <c r="H56" s="90"/>
      <c r="I56" s="91"/>
      <c r="J56" s="88" t="s">
        <v>747</v>
      </c>
      <c r="K56" s="86" t="s">
        <v>806</v>
      </c>
    </row>
    <row r="57" ht="22.5" customHeight="1">
      <c r="A57" s="16" t="s">
        <v>71</v>
      </c>
      <c r="B57" s="86" t="s">
        <v>926</v>
      </c>
      <c r="C57" s="86" t="s">
        <v>927</v>
      </c>
      <c r="D57" s="18" t="s">
        <v>928</v>
      </c>
      <c r="E57" s="18" t="s">
        <v>459</v>
      </c>
      <c r="F57" s="88" t="s">
        <v>491</v>
      </c>
      <c r="G57" s="89">
        <v>46062.0</v>
      </c>
      <c r="H57" s="90"/>
      <c r="I57" s="91"/>
      <c r="J57" s="88" t="s">
        <v>815</v>
      </c>
      <c r="K57" s="86" t="s">
        <v>806</v>
      </c>
    </row>
    <row r="58" ht="22.5" customHeight="1">
      <c r="A58" s="16" t="s">
        <v>80</v>
      </c>
      <c r="B58" s="86" t="s">
        <v>929</v>
      </c>
      <c r="C58" s="86" t="s">
        <v>930</v>
      </c>
      <c r="D58" s="54" t="s">
        <v>572</v>
      </c>
      <c r="E58" s="18" t="s">
        <v>459</v>
      </c>
      <c r="F58" s="88" t="s">
        <v>140</v>
      </c>
      <c r="G58" s="89">
        <v>46062.0</v>
      </c>
      <c r="H58" s="90"/>
      <c r="I58" s="91"/>
      <c r="J58" s="88" t="s">
        <v>524</v>
      </c>
      <c r="K58" s="86" t="s">
        <v>806</v>
      </c>
    </row>
    <row r="59" ht="22.5" customHeight="1">
      <c r="A59" s="16" t="s">
        <v>649</v>
      </c>
      <c r="B59" s="86" t="s">
        <v>931</v>
      </c>
      <c r="C59" s="86" t="s">
        <v>932</v>
      </c>
      <c r="D59" s="54" t="s">
        <v>933</v>
      </c>
      <c r="E59" s="18" t="s">
        <v>459</v>
      </c>
      <c r="F59" s="88" t="s">
        <v>140</v>
      </c>
      <c r="G59" s="89">
        <v>46059.0</v>
      </c>
      <c r="H59" s="90"/>
      <c r="I59" s="91"/>
      <c r="J59" s="88" t="s">
        <v>97</v>
      </c>
      <c r="K59" s="86" t="s">
        <v>806</v>
      </c>
    </row>
    <row r="60" ht="22.5" customHeight="1">
      <c r="A60" s="16" t="s">
        <v>650</v>
      </c>
      <c r="B60" s="86" t="s">
        <v>934</v>
      </c>
      <c r="C60" s="86" t="s">
        <v>935</v>
      </c>
      <c r="D60" s="54" t="s">
        <v>551</v>
      </c>
      <c r="E60" s="18" t="s">
        <v>459</v>
      </c>
      <c r="F60" s="88" t="s">
        <v>140</v>
      </c>
      <c r="G60" s="89">
        <v>46059.0</v>
      </c>
      <c r="H60" s="90"/>
      <c r="I60" s="91"/>
      <c r="J60" s="88" t="s">
        <v>710</v>
      </c>
      <c r="K60" s="86" t="s">
        <v>806</v>
      </c>
    </row>
    <row r="61" ht="22.5" customHeight="1">
      <c r="A61" s="16" t="s">
        <v>651</v>
      </c>
      <c r="B61" s="86" t="s">
        <v>936</v>
      </c>
      <c r="C61" s="86" t="s">
        <v>937</v>
      </c>
      <c r="D61" s="54" t="s">
        <v>933</v>
      </c>
      <c r="E61" s="18" t="s">
        <v>459</v>
      </c>
      <c r="F61" s="88" t="s">
        <v>140</v>
      </c>
      <c r="G61" s="89">
        <v>46059.0</v>
      </c>
      <c r="H61" s="90"/>
      <c r="I61" s="91"/>
      <c r="J61" s="88" t="s">
        <v>97</v>
      </c>
      <c r="K61" s="86" t="s">
        <v>806</v>
      </c>
    </row>
    <row r="62" ht="22.5" customHeight="1">
      <c r="A62" s="16" t="s">
        <v>660</v>
      </c>
      <c r="B62" s="86" t="s">
        <v>938</v>
      </c>
      <c r="C62" s="86" t="s">
        <v>939</v>
      </c>
      <c r="D62" s="18" t="s">
        <v>940</v>
      </c>
      <c r="E62" s="18" t="s">
        <v>459</v>
      </c>
      <c r="F62" s="88" t="s">
        <v>140</v>
      </c>
      <c r="G62" s="89">
        <v>46058.0</v>
      </c>
      <c r="H62" s="90"/>
      <c r="I62" s="91"/>
      <c r="J62" s="88" t="s">
        <v>48</v>
      </c>
      <c r="K62" s="86" t="s">
        <v>806</v>
      </c>
    </row>
    <row r="63" ht="22.5" customHeight="1">
      <c r="A63" s="51"/>
      <c r="B63" s="86" t="s">
        <v>941</v>
      </c>
      <c r="C63" s="86" t="s">
        <v>942</v>
      </c>
      <c r="D63" s="54" t="s">
        <v>537</v>
      </c>
      <c r="E63" s="18" t="s">
        <v>459</v>
      </c>
      <c r="F63" s="88" t="s">
        <v>140</v>
      </c>
      <c r="G63" s="89">
        <v>46058.0</v>
      </c>
      <c r="H63" s="90"/>
      <c r="I63" s="91"/>
      <c r="J63" s="88" t="s">
        <v>747</v>
      </c>
      <c r="K63" s="86" t="s">
        <v>806</v>
      </c>
    </row>
    <row r="64" ht="22.5" customHeight="1">
      <c r="A64" s="16" t="s">
        <v>620</v>
      </c>
      <c r="B64" s="86" t="s">
        <v>943</v>
      </c>
      <c r="C64" s="86" t="s">
        <v>944</v>
      </c>
      <c r="D64" s="54" t="s">
        <v>933</v>
      </c>
      <c r="E64" s="18" t="s">
        <v>459</v>
      </c>
      <c r="F64" s="88" t="s">
        <v>140</v>
      </c>
      <c r="G64" s="89">
        <v>46057.0</v>
      </c>
      <c r="H64" s="90"/>
      <c r="I64" s="91"/>
      <c r="J64" s="88" t="s">
        <v>97</v>
      </c>
      <c r="K64" s="86" t="s">
        <v>806</v>
      </c>
    </row>
    <row r="65" ht="22.5" customHeight="1">
      <c r="A65" s="16" t="s">
        <v>632</v>
      </c>
      <c r="B65" s="86" t="s">
        <v>945</v>
      </c>
      <c r="C65" s="86" t="s">
        <v>946</v>
      </c>
      <c r="D65" s="54" t="s">
        <v>933</v>
      </c>
      <c r="E65" s="18" t="s">
        <v>459</v>
      </c>
      <c r="F65" s="88" t="s">
        <v>140</v>
      </c>
      <c r="G65" s="89">
        <v>46057.0</v>
      </c>
      <c r="H65" s="90"/>
      <c r="I65" s="91"/>
      <c r="J65" s="88" t="s">
        <v>97</v>
      </c>
      <c r="K65" s="86" t="s">
        <v>806</v>
      </c>
    </row>
    <row r="66" ht="22.5" customHeight="1">
      <c r="A66" s="16" t="s">
        <v>635</v>
      </c>
      <c r="B66" s="86" t="s">
        <v>947</v>
      </c>
      <c r="C66" s="86" t="s">
        <v>948</v>
      </c>
      <c r="D66" s="54" t="s">
        <v>551</v>
      </c>
      <c r="E66" s="18" t="s">
        <v>459</v>
      </c>
      <c r="F66" s="88" t="s">
        <v>140</v>
      </c>
      <c r="G66" s="89">
        <v>46057.0</v>
      </c>
      <c r="H66" s="90"/>
      <c r="I66" s="91"/>
      <c r="J66" s="88" t="s">
        <v>97</v>
      </c>
      <c r="K66" s="86" t="s">
        <v>806</v>
      </c>
    </row>
    <row r="67" ht="22.5" customHeight="1">
      <c r="A67" s="16" t="s">
        <v>608</v>
      </c>
      <c r="B67" s="86" t="s">
        <v>949</v>
      </c>
      <c r="C67" s="86" t="s">
        <v>950</v>
      </c>
      <c r="D67" s="54" t="s">
        <v>951</v>
      </c>
      <c r="E67" s="18" t="s">
        <v>896</v>
      </c>
      <c r="F67" s="88" t="s">
        <v>140</v>
      </c>
      <c r="G67" s="89">
        <v>46056.0</v>
      </c>
      <c r="H67" s="90"/>
      <c r="I67" s="91"/>
      <c r="J67" s="88" t="s">
        <v>97</v>
      </c>
      <c r="K67" s="86" t="s">
        <v>806</v>
      </c>
    </row>
    <row r="68" ht="22.5" customHeight="1">
      <c r="A68" s="16" t="s">
        <v>611</v>
      </c>
      <c r="B68" s="86" t="s">
        <v>952</v>
      </c>
      <c r="C68" s="86" t="s">
        <v>953</v>
      </c>
      <c r="D68" s="54" t="s">
        <v>933</v>
      </c>
      <c r="E68" s="18" t="s">
        <v>954</v>
      </c>
      <c r="F68" s="88" t="s">
        <v>140</v>
      </c>
      <c r="G68" s="89">
        <v>46056.0</v>
      </c>
      <c r="H68" s="90"/>
      <c r="I68" s="91"/>
      <c r="J68" s="88" t="s">
        <v>97</v>
      </c>
      <c r="K68" s="86" t="s">
        <v>806</v>
      </c>
    </row>
    <row r="69" ht="22.5" customHeight="1">
      <c r="A69" s="16" t="s">
        <v>614</v>
      </c>
      <c r="B69" s="86" t="s">
        <v>955</v>
      </c>
      <c r="C69" s="86" t="s">
        <v>956</v>
      </c>
      <c r="D69" s="54" t="s">
        <v>951</v>
      </c>
      <c r="E69" s="18" t="s">
        <v>459</v>
      </c>
      <c r="F69" s="88" t="s">
        <v>140</v>
      </c>
      <c r="G69" s="89">
        <v>46056.0</v>
      </c>
      <c r="H69" s="90"/>
      <c r="I69" s="91"/>
      <c r="J69" s="88" t="s">
        <v>97</v>
      </c>
      <c r="K69" s="86" t="s">
        <v>806</v>
      </c>
    </row>
    <row r="70" ht="22.5" customHeight="1">
      <c r="A70" s="16" t="s">
        <v>167</v>
      </c>
      <c r="B70" s="86" t="s">
        <v>957</v>
      </c>
      <c r="C70" s="86" t="s">
        <v>958</v>
      </c>
      <c r="D70" s="54" t="s">
        <v>959</v>
      </c>
      <c r="E70" s="18" t="s">
        <v>459</v>
      </c>
      <c r="F70" s="88" t="s">
        <v>140</v>
      </c>
      <c r="G70" s="89">
        <v>46056.0</v>
      </c>
      <c r="H70" s="90"/>
      <c r="I70" s="91"/>
      <c r="J70" s="88" t="s">
        <v>747</v>
      </c>
      <c r="K70" s="86" t="s">
        <v>806</v>
      </c>
    </row>
    <row r="71" ht="22.5" customHeight="1">
      <c r="A71" s="16" t="s">
        <v>538</v>
      </c>
      <c r="B71" s="51" t="s">
        <v>960</v>
      </c>
      <c r="C71" s="51" t="s">
        <v>961</v>
      </c>
      <c r="D71" s="54" t="s">
        <v>572</v>
      </c>
      <c r="E71" s="18" t="s">
        <v>459</v>
      </c>
      <c r="F71" s="88" t="s">
        <v>140</v>
      </c>
      <c r="G71" s="89">
        <v>46054.0</v>
      </c>
      <c r="H71" s="90"/>
      <c r="I71" s="91"/>
      <c r="J71" s="88" t="s">
        <v>524</v>
      </c>
      <c r="K71" s="51" t="s">
        <v>806</v>
      </c>
    </row>
    <row r="72" ht="22.5" customHeight="1">
      <c r="A72" s="16" t="s">
        <v>531</v>
      </c>
      <c r="B72" s="86" t="s">
        <v>962</v>
      </c>
      <c r="C72" s="86" t="s">
        <v>963</v>
      </c>
      <c r="D72" s="54" t="s">
        <v>933</v>
      </c>
      <c r="E72" s="18" t="s">
        <v>896</v>
      </c>
      <c r="F72" s="88" t="s">
        <v>140</v>
      </c>
      <c r="G72" s="89">
        <v>46052.0</v>
      </c>
      <c r="H72" s="90"/>
      <c r="I72" s="91"/>
      <c r="J72" s="88" t="s">
        <v>39</v>
      </c>
      <c r="K72" s="86" t="s">
        <v>806</v>
      </c>
    </row>
    <row r="73" ht="22.5" customHeight="1">
      <c r="A73" s="16" t="s">
        <v>587</v>
      </c>
      <c r="B73" s="86" t="s">
        <v>964</v>
      </c>
      <c r="C73" s="86" t="s">
        <v>965</v>
      </c>
      <c r="D73" s="18"/>
      <c r="E73" s="18" t="s">
        <v>459</v>
      </c>
      <c r="F73" s="88" t="s">
        <v>140</v>
      </c>
      <c r="G73" s="89">
        <v>46049.0</v>
      </c>
      <c r="H73" s="90"/>
      <c r="I73" s="91"/>
      <c r="J73" s="88" t="s">
        <v>48</v>
      </c>
      <c r="K73" s="86" t="s">
        <v>806</v>
      </c>
    </row>
    <row r="74" ht="22.5" customHeight="1">
      <c r="A74" s="16" t="s">
        <v>590</v>
      </c>
      <c r="B74" s="86" t="s">
        <v>966</v>
      </c>
      <c r="C74" s="86" t="s">
        <v>967</v>
      </c>
      <c r="D74" s="54" t="s">
        <v>782</v>
      </c>
      <c r="E74" s="18" t="s">
        <v>459</v>
      </c>
      <c r="F74" s="88" t="s">
        <v>460</v>
      </c>
      <c r="G74" s="89">
        <v>46049.0</v>
      </c>
      <c r="H74" s="90"/>
      <c r="I74" s="91"/>
      <c r="J74" s="88" t="s">
        <v>48</v>
      </c>
      <c r="K74" s="86" t="s">
        <v>806</v>
      </c>
    </row>
    <row r="75" ht="22.5" customHeight="1">
      <c r="A75" s="16" t="s">
        <v>661</v>
      </c>
      <c r="B75" s="86" t="s">
        <v>968</v>
      </c>
      <c r="C75" s="86" t="s">
        <v>969</v>
      </c>
      <c r="D75" s="18" t="s">
        <v>970</v>
      </c>
      <c r="E75" s="18" t="s">
        <v>459</v>
      </c>
      <c r="F75" s="88" t="s">
        <v>140</v>
      </c>
      <c r="G75" s="89">
        <v>46048.0</v>
      </c>
      <c r="H75" s="90"/>
      <c r="I75" s="91"/>
      <c r="J75" s="88" t="s">
        <v>48</v>
      </c>
      <c r="K75" s="86" t="s">
        <v>806</v>
      </c>
    </row>
    <row r="76" ht="22.5" customHeight="1">
      <c r="A76" s="16" t="s">
        <v>514</v>
      </c>
      <c r="B76" s="51" t="s">
        <v>971</v>
      </c>
      <c r="C76" s="51" t="s">
        <v>972</v>
      </c>
      <c r="D76" s="54" t="s">
        <v>973</v>
      </c>
      <c r="E76" s="18" t="s">
        <v>459</v>
      </c>
      <c r="F76" s="88" t="s">
        <v>47</v>
      </c>
      <c r="G76" s="89">
        <v>46043.0</v>
      </c>
      <c r="H76" s="90">
        <v>15458.0</v>
      </c>
      <c r="I76" s="91"/>
      <c r="J76" s="88" t="s">
        <v>48</v>
      </c>
      <c r="K76" s="51" t="s">
        <v>806</v>
      </c>
    </row>
    <row r="77" ht="22.5" customHeight="1">
      <c r="A77" s="16" t="s">
        <v>517</v>
      </c>
      <c r="B77" s="51" t="s">
        <v>971</v>
      </c>
      <c r="C77" s="51" t="s">
        <v>972</v>
      </c>
      <c r="D77" s="54" t="s">
        <v>973</v>
      </c>
      <c r="E77" s="18" t="s">
        <v>974</v>
      </c>
      <c r="F77" s="88" t="s">
        <v>758</v>
      </c>
      <c r="G77" s="89">
        <v>46043.0</v>
      </c>
      <c r="H77" s="90"/>
      <c r="I77" s="91"/>
      <c r="J77" s="88" t="s">
        <v>48</v>
      </c>
      <c r="K77" s="51" t="s">
        <v>806</v>
      </c>
    </row>
    <row r="78" ht="22.5" customHeight="1">
      <c r="A78" s="16" t="s">
        <v>499</v>
      </c>
      <c r="B78" s="86" t="s">
        <v>975</v>
      </c>
      <c r="C78" s="86" t="s">
        <v>976</v>
      </c>
      <c r="D78" s="18"/>
      <c r="E78" s="18" t="s">
        <v>459</v>
      </c>
      <c r="F78" s="88" t="s">
        <v>47</v>
      </c>
      <c r="G78" s="89">
        <v>46038.0</v>
      </c>
      <c r="H78" s="90">
        <v>169705.0</v>
      </c>
      <c r="I78" s="91"/>
      <c r="J78" s="88" t="s">
        <v>48</v>
      </c>
      <c r="K78" s="86" t="s">
        <v>806</v>
      </c>
    </row>
    <row r="79" ht="22.5" customHeight="1">
      <c r="A79" s="16" t="s">
        <v>505</v>
      </c>
      <c r="B79" s="51" t="s">
        <v>977</v>
      </c>
      <c r="C79" s="51" t="s">
        <v>978</v>
      </c>
      <c r="D79" s="54" t="s">
        <v>718</v>
      </c>
      <c r="E79" s="18" t="s">
        <v>459</v>
      </c>
      <c r="F79" s="88" t="s">
        <v>47</v>
      </c>
      <c r="G79" s="89">
        <v>46035.0</v>
      </c>
      <c r="H79" s="90">
        <v>592418.0</v>
      </c>
      <c r="I79" s="91"/>
      <c r="J79" s="88" t="s">
        <v>48</v>
      </c>
      <c r="K79" s="51" t="s">
        <v>806</v>
      </c>
    </row>
    <row r="80" ht="22.5" customHeight="1">
      <c r="A80" s="16" t="s">
        <v>801</v>
      </c>
      <c r="B80" s="86" t="s">
        <v>979</v>
      </c>
      <c r="C80" s="86" t="s">
        <v>980</v>
      </c>
      <c r="D80" s="54" t="s">
        <v>981</v>
      </c>
      <c r="E80" s="18" t="s">
        <v>459</v>
      </c>
      <c r="F80" s="88" t="s">
        <v>140</v>
      </c>
      <c r="G80" s="89">
        <v>46034.0</v>
      </c>
      <c r="H80" s="90"/>
      <c r="I80" s="91"/>
      <c r="J80" s="88" t="s">
        <v>39</v>
      </c>
      <c r="K80" s="86" t="s">
        <v>806</v>
      </c>
    </row>
    <row r="81" ht="22.5" customHeight="1">
      <c r="A81" s="16" t="s">
        <v>128</v>
      </c>
      <c r="B81" s="51"/>
      <c r="C81" s="51" t="s">
        <v>982</v>
      </c>
      <c r="D81" s="54" t="s">
        <v>551</v>
      </c>
      <c r="E81" s="18" t="s">
        <v>459</v>
      </c>
      <c r="F81" s="88" t="s">
        <v>140</v>
      </c>
      <c r="G81" s="89">
        <v>46034.0</v>
      </c>
      <c r="H81" s="90"/>
      <c r="I81" s="91"/>
      <c r="J81" s="88" t="s">
        <v>562</v>
      </c>
      <c r="K81" s="51" t="s">
        <v>806</v>
      </c>
    </row>
    <row r="82" ht="22.5" customHeight="1">
      <c r="A82" s="16" t="s">
        <v>593</v>
      </c>
      <c r="B82" s="86" t="s">
        <v>983</v>
      </c>
      <c r="C82" s="86" t="s">
        <v>984</v>
      </c>
      <c r="D82" s="54" t="s">
        <v>985</v>
      </c>
      <c r="E82" s="18" t="s">
        <v>896</v>
      </c>
      <c r="F82" s="88" t="s">
        <v>140</v>
      </c>
      <c r="G82" s="89">
        <v>46030.0</v>
      </c>
      <c r="H82" s="90"/>
      <c r="I82" s="91"/>
      <c r="J82" s="88" t="s">
        <v>97</v>
      </c>
      <c r="K82" s="86" t="s">
        <v>806</v>
      </c>
    </row>
    <row r="83" ht="22.5" customHeight="1">
      <c r="A83" s="16" t="s">
        <v>134</v>
      </c>
      <c r="B83" s="86" t="s">
        <v>986</v>
      </c>
      <c r="C83" s="86" t="s">
        <v>987</v>
      </c>
      <c r="D83" s="54" t="s">
        <v>782</v>
      </c>
      <c r="E83" s="18" t="s">
        <v>459</v>
      </c>
      <c r="F83" s="88" t="s">
        <v>140</v>
      </c>
      <c r="G83" s="89">
        <v>46029.0</v>
      </c>
      <c r="H83" s="90"/>
      <c r="I83" s="91"/>
      <c r="J83" s="88" t="s">
        <v>747</v>
      </c>
      <c r="K83" s="86" t="s">
        <v>806</v>
      </c>
    </row>
    <row r="84" ht="22.5" customHeight="1">
      <c r="A84" s="51"/>
      <c r="B84" s="51" t="s">
        <v>988</v>
      </c>
      <c r="C84" s="51" t="s">
        <v>424</v>
      </c>
      <c r="D84" s="18"/>
      <c r="E84" s="18" t="s">
        <v>459</v>
      </c>
      <c r="F84" s="88" t="s">
        <v>140</v>
      </c>
      <c r="G84" s="89">
        <v>46029.0</v>
      </c>
      <c r="H84" s="90"/>
      <c r="I84" s="91"/>
      <c r="J84" s="88" t="s">
        <v>97</v>
      </c>
      <c r="K84" s="51" t="s">
        <v>806</v>
      </c>
    </row>
    <row r="85" ht="22.5" customHeight="1">
      <c r="A85" s="16" t="s">
        <v>137</v>
      </c>
      <c r="B85" s="86" t="s">
        <v>989</v>
      </c>
      <c r="C85" s="86" t="s">
        <v>990</v>
      </c>
      <c r="D85" s="54" t="s">
        <v>991</v>
      </c>
      <c r="E85" s="18" t="s">
        <v>459</v>
      </c>
      <c r="F85" s="88" t="s">
        <v>140</v>
      </c>
      <c r="G85" s="89">
        <v>46028.0</v>
      </c>
      <c r="H85" s="90"/>
      <c r="I85" s="91"/>
      <c r="J85" s="88" t="s">
        <v>747</v>
      </c>
      <c r="K85" s="86" t="s">
        <v>806</v>
      </c>
    </row>
    <row r="86" ht="22.5" customHeight="1">
      <c r="A86" s="51"/>
      <c r="B86" s="86" t="s">
        <v>992</v>
      </c>
      <c r="C86" s="86" t="s">
        <v>993</v>
      </c>
      <c r="D86" s="18"/>
      <c r="E86" s="18" t="s">
        <v>459</v>
      </c>
      <c r="F86" s="88" t="s">
        <v>140</v>
      </c>
      <c r="G86" s="89">
        <v>46018.0</v>
      </c>
      <c r="H86" s="90"/>
      <c r="I86" s="91"/>
      <c r="J86" s="88" t="s">
        <v>48</v>
      </c>
      <c r="K86" s="86" t="s">
        <v>806</v>
      </c>
    </row>
    <row r="87" ht="22.5" customHeight="1">
      <c r="A87" s="51"/>
      <c r="B87" s="86" t="s">
        <v>994</v>
      </c>
      <c r="C87" s="86" t="s">
        <v>995</v>
      </c>
      <c r="D87" s="54" t="s">
        <v>737</v>
      </c>
      <c r="E87" s="18" t="s">
        <v>459</v>
      </c>
      <c r="F87" s="88" t="s">
        <v>140</v>
      </c>
      <c r="G87" s="89">
        <v>46018.0</v>
      </c>
      <c r="H87" s="90"/>
      <c r="I87" s="91"/>
      <c r="J87" s="88" t="s">
        <v>996</v>
      </c>
      <c r="K87" s="86" t="s">
        <v>806</v>
      </c>
    </row>
    <row r="88" ht="22.5" customHeight="1">
      <c r="A88" s="51"/>
      <c r="B88" s="86" t="s">
        <v>997</v>
      </c>
      <c r="C88" s="86" t="s">
        <v>998</v>
      </c>
      <c r="D88" s="54" t="s">
        <v>999</v>
      </c>
      <c r="E88" s="18" t="s">
        <v>459</v>
      </c>
      <c r="F88" s="88" t="s">
        <v>140</v>
      </c>
      <c r="G88" s="89">
        <v>46010.0</v>
      </c>
      <c r="H88" s="90"/>
      <c r="I88" s="91"/>
      <c r="J88" s="88" t="s">
        <v>97</v>
      </c>
      <c r="K88" s="86" t="s">
        <v>806</v>
      </c>
    </row>
    <row r="89" ht="22.5" customHeight="1">
      <c r="A89" s="16" t="s">
        <v>576</v>
      </c>
      <c r="B89" s="86" t="s">
        <v>1000</v>
      </c>
      <c r="C89" s="86" t="s">
        <v>1001</v>
      </c>
      <c r="D89" s="54" t="s">
        <v>959</v>
      </c>
      <c r="E89" s="18" t="s">
        <v>459</v>
      </c>
      <c r="F89" s="88" t="s">
        <v>140</v>
      </c>
      <c r="G89" s="89">
        <v>46009.0</v>
      </c>
      <c r="H89" s="90"/>
      <c r="I89" s="91"/>
      <c r="J89" s="88" t="s">
        <v>48</v>
      </c>
      <c r="K89" s="86" t="s">
        <v>806</v>
      </c>
    </row>
    <row r="90" ht="22.5" customHeight="1">
      <c r="A90" s="16" t="s">
        <v>579</v>
      </c>
      <c r="B90" s="86" t="s">
        <v>1002</v>
      </c>
      <c r="C90" s="86" t="s">
        <v>1003</v>
      </c>
      <c r="D90" s="54" t="s">
        <v>782</v>
      </c>
      <c r="E90" s="18" t="s">
        <v>459</v>
      </c>
      <c r="F90" s="88" t="s">
        <v>140</v>
      </c>
      <c r="G90" s="89">
        <v>46009.0</v>
      </c>
      <c r="H90" s="90"/>
      <c r="I90" s="91"/>
      <c r="J90" s="88" t="s">
        <v>48</v>
      </c>
      <c r="K90" s="86" t="s">
        <v>806</v>
      </c>
    </row>
    <row r="91" ht="22.5" customHeight="1">
      <c r="A91" s="16" t="s">
        <v>582</v>
      </c>
      <c r="B91" s="86" t="s">
        <v>1004</v>
      </c>
      <c r="C91" s="86" t="s">
        <v>1005</v>
      </c>
      <c r="D91" s="18"/>
      <c r="E91" s="18" t="s">
        <v>459</v>
      </c>
      <c r="F91" s="88" t="s">
        <v>140</v>
      </c>
      <c r="G91" s="89">
        <v>46009.0</v>
      </c>
      <c r="H91" s="90"/>
      <c r="I91" s="91"/>
      <c r="J91" s="88" t="s">
        <v>48</v>
      </c>
      <c r="K91" s="86" t="s">
        <v>806</v>
      </c>
    </row>
    <row r="92" ht="22.5" customHeight="1">
      <c r="A92" s="16" t="s">
        <v>585</v>
      </c>
      <c r="B92" s="86" t="s">
        <v>1006</v>
      </c>
      <c r="C92" s="86" t="s">
        <v>1007</v>
      </c>
      <c r="D92" s="54" t="s">
        <v>933</v>
      </c>
      <c r="E92" s="18" t="s">
        <v>459</v>
      </c>
      <c r="F92" s="88" t="s">
        <v>460</v>
      </c>
      <c r="G92" s="89">
        <v>46009.0</v>
      </c>
      <c r="H92" s="90"/>
      <c r="I92" s="91"/>
      <c r="J92" s="88" t="s">
        <v>48</v>
      </c>
      <c r="K92" s="86" t="s">
        <v>806</v>
      </c>
    </row>
    <row r="93" ht="22.5" customHeight="1">
      <c r="A93" s="16" t="s">
        <v>573</v>
      </c>
      <c r="B93" s="86" t="s">
        <v>1008</v>
      </c>
      <c r="C93" s="86" t="s">
        <v>1009</v>
      </c>
      <c r="D93" s="54" t="s">
        <v>551</v>
      </c>
      <c r="E93" s="18" t="s">
        <v>459</v>
      </c>
      <c r="F93" s="88" t="s">
        <v>140</v>
      </c>
      <c r="G93" s="89">
        <v>46008.0</v>
      </c>
      <c r="H93" s="90"/>
      <c r="I93" s="91"/>
      <c r="J93" s="88" t="s">
        <v>48</v>
      </c>
      <c r="K93" s="86" t="s">
        <v>806</v>
      </c>
    </row>
    <row r="94" ht="22.5" customHeight="1">
      <c r="A94" s="16" t="s">
        <v>110</v>
      </c>
      <c r="B94" s="86" t="s">
        <v>1010</v>
      </c>
      <c r="C94" s="86" t="s">
        <v>1011</v>
      </c>
      <c r="D94" s="54" t="s">
        <v>551</v>
      </c>
      <c r="E94" s="18" t="s">
        <v>459</v>
      </c>
      <c r="F94" s="88" t="s">
        <v>140</v>
      </c>
      <c r="G94" s="89">
        <v>46006.0</v>
      </c>
      <c r="H94" s="90"/>
      <c r="I94" s="91"/>
      <c r="J94" s="88" t="s">
        <v>524</v>
      </c>
      <c r="K94" s="86" t="s">
        <v>806</v>
      </c>
    </row>
    <row r="95" ht="22.5" customHeight="1">
      <c r="A95" s="16" t="s">
        <v>534</v>
      </c>
      <c r="B95" s="51" t="s">
        <v>1012</v>
      </c>
      <c r="C95" s="51" t="s">
        <v>1013</v>
      </c>
      <c r="D95" s="54" t="s">
        <v>782</v>
      </c>
      <c r="E95" s="18" t="s">
        <v>1014</v>
      </c>
      <c r="F95" s="88" t="s">
        <v>460</v>
      </c>
      <c r="G95" s="89">
        <v>46001.0</v>
      </c>
      <c r="H95" s="90"/>
      <c r="I95" s="91"/>
      <c r="J95" s="88" t="s">
        <v>97</v>
      </c>
      <c r="K95" s="51" t="s">
        <v>806</v>
      </c>
    </row>
    <row r="96" ht="22.5" customHeight="1">
      <c r="A96" s="51"/>
      <c r="B96" s="51" t="s">
        <v>1015</v>
      </c>
      <c r="C96" s="51" t="s">
        <v>1016</v>
      </c>
      <c r="D96" s="54" t="s">
        <v>985</v>
      </c>
      <c r="E96" s="18" t="s">
        <v>459</v>
      </c>
      <c r="F96" s="88" t="s">
        <v>140</v>
      </c>
      <c r="G96" s="89">
        <v>45996.0</v>
      </c>
      <c r="H96" s="90"/>
      <c r="I96" s="91"/>
      <c r="J96" s="88" t="s">
        <v>48</v>
      </c>
      <c r="K96" s="51" t="s">
        <v>806</v>
      </c>
    </row>
    <row r="97" ht="22.5" customHeight="1">
      <c r="A97" s="16" t="s">
        <v>654</v>
      </c>
      <c r="B97" s="86" t="s">
        <v>1017</v>
      </c>
      <c r="C97" s="86" t="s">
        <v>1018</v>
      </c>
      <c r="D97" s="54" t="s">
        <v>1019</v>
      </c>
      <c r="E97" s="18" t="s">
        <v>459</v>
      </c>
      <c r="F97" s="88" t="s">
        <v>140</v>
      </c>
      <c r="G97" s="89">
        <v>45992.0</v>
      </c>
      <c r="H97" s="90"/>
      <c r="I97" s="91"/>
      <c r="J97" s="88" t="s">
        <v>97</v>
      </c>
      <c r="K97" s="86" t="s">
        <v>806</v>
      </c>
    </row>
    <row r="98" ht="22.5" customHeight="1">
      <c r="A98" s="16" t="s">
        <v>655</v>
      </c>
      <c r="B98" s="86" t="s">
        <v>1020</v>
      </c>
      <c r="C98" s="86" t="s">
        <v>1021</v>
      </c>
      <c r="D98" s="54" t="s">
        <v>537</v>
      </c>
      <c r="E98" s="18" t="s">
        <v>459</v>
      </c>
      <c r="F98" s="88" t="s">
        <v>140</v>
      </c>
      <c r="G98" s="89">
        <v>45992.0</v>
      </c>
      <c r="H98" s="90"/>
      <c r="I98" s="91"/>
      <c r="J98" s="88" t="s">
        <v>97</v>
      </c>
      <c r="K98" s="86" t="s">
        <v>806</v>
      </c>
    </row>
    <row r="99" ht="22.5" customHeight="1">
      <c r="A99" s="16" t="s">
        <v>153</v>
      </c>
      <c r="B99" s="86" t="s">
        <v>1022</v>
      </c>
      <c r="C99" s="86" t="s">
        <v>1023</v>
      </c>
      <c r="D99" s="54" t="s">
        <v>951</v>
      </c>
      <c r="E99" s="18" t="s">
        <v>459</v>
      </c>
      <c r="F99" s="88" t="s">
        <v>140</v>
      </c>
      <c r="G99" s="89">
        <v>45992.0</v>
      </c>
      <c r="H99" s="90"/>
      <c r="I99" s="91"/>
      <c r="J99" s="88" t="s">
        <v>524</v>
      </c>
      <c r="K99" s="86" t="s">
        <v>806</v>
      </c>
    </row>
    <row r="100" ht="22.5" customHeight="1">
      <c r="A100" s="16" t="s">
        <v>617</v>
      </c>
      <c r="B100" s="86" t="s">
        <v>1024</v>
      </c>
      <c r="C100" s="86" t="s">
        <v>1025</v>
      </c>
      <c r="D100" s="54" t="s">
        <v>572</v>
      </c>
      <c r="E100" s="18" t="s">
        <v>459</v>
      </c>
      <c r="F100" s="88" t="s">
        <v>140</v>
      </c>
      <c r="G100" s="89">
        <v>45982.0</v>
      </c>
      <c r="H100" s="90"/>
      <c r="I100" s="91"/>
      <c r="J100" s="88" t="s">
        <v>48</v>
      </c>
      <c r="K100" s="86" t="s">
        <v>806</v>
      </c>
    </row>
    <row r="101" ht="22.5" customHeight="1">
      <c r="A101" s="16" t="s">
        <v>549</v>
      </c>
      <c r="B101" s="86" t="s">
        <v>1026</v>
      </c>
      <c r="C101" s="86" t="s">
        <v>1027</v>
      </c>
      <c r="D101" s="54" t="s">
        <v>782</v>
      </c>
      <c r="E101" s="18" t="s">
        <v>459</v>
      </c>
      <c r="F101" s="88" t="s">
        <v>460</v>
      </c>
      <c r="G101" s="89">
        <v>45975.0</v>
      </c>
      <c r="H101" s="90"/>
      <c r="I101" s="91"/>
      <c r="J101" s="88" t="s">
        <v>48</v>
      </c>
      <c r="K101" s="86" t="s">
        <v>806</v>
      </c>
    </row>
    <row r="102" ht="22.5" customHeight="1">
      <c r="A102" s="16" t="s">
        <v>656</v>
      </c>
      <c r="B102" s="86" t="s">
        <v>1028</v>
      </c>
      <c r="C102" s="86" t="s">
        <v>1029</v>
      </c>
      <c r="D102" s="54" t="s">
        <v>537</v>
      </c>
      <c r="E102" s="18" t="s">
        <v>459</v>
      </c>
      <c r="F102" s="88" t="s">
        <v>460</v>
      </c>
      <c r="G102" s="89">
        <v>45972.0</v>
      </c>
      <c r="H102" s="90"/>
      <c r="I102" s="91"/>
      <c r="J102" s="88" t="s">
        <v>39</v>
      </c>
      <c r="K102" s="86" t="s">
        <v>806</v>
      </c>
    </row>
    <row r="103" ht="22.5" customHeight="1">
      <c r="A103" s="16" t="s">
        <v>141</v>
      </c>
      <c r="B103" s="86" t="s">
        <v>1030</v>
      </c>
      <c r="C103" s="86" t="s">
        <v>1031</v>
      </c>
      <c r="D103" s="54" t="s">
        <v>551</v>
      </c>
      <c r="E103" s="18" t="s">
        <v>459</v>
      </c>
      <c r="F103" s="88" t="s">
        <v>140</v>
      </c>
      <c r="G103" s="89">
        <v>45968.0</v>
      </c>
      <c r="H103" s="90"/>
      <c r="I103" s="91"/>
      <c r="J103" s="88" t="s">
        <v>39</v>
      </c>
      <c r="K103" s="86" t="s">
        <v>806</v>
      </c>
    </row>
    <row r="104" ht="22.5" customHeight="1">
      <c r="A104" s="16" t="s">
        <v>147</v>
      </c>
      <c r="B104" s="86" t="s">
        <v>1032</v>
      </c>
      <c r="C104" s="86" t="s">
        <v>1033</v>
      </c>
      <c r="D104" s="54" t="s">
        <v>1034</v>
      </c>
      <c r="E104" s="18" t="s">
        <v>459</v>
      </c>
      <c r="F104" s="88" t="s">
        <v>140</v>
      </c>
      <c r="G104" s="89">
        <v>45967.0</v>
      </c>
      <c r="H104" s="90"/>
      <c r="I104" s="91"/>
      <c r="J104" s="88" t="s">
        <v>39</v>
      </c>
      <c r="K104" s="86" t="s">
        <v>806</v>
      </c>
    </row>
    <row r="105" ht="22.5" customHeight="1">
      <c r="A105" s="16" t="s">
        <v>64</v>
      </c>
      <c r="B105" s="86" t="s">
        <v>1035</v>
      </c>
      <c r="C105" s="86"/>
      <c r="D105" s="54" t="s">
        <v>811</v>
      </c>
      <c r="E105" s="18" t="s">
        <v>459</v>
      </c>
      <c r="F105" s="88" t="s">
        <v>140</v>
      </c>
      <c r="G105" s="89">
        <v>45965.0</v>
      </c>
      <c r="H105" s="90"/>
      <c r="I105" s="91"/>
      <c r="J105" s="88" t="s">
        <v>39</v>
      </c>
      <c r="K105" s="86" t="s">
        <v>806</v>
      </c>
    </row>
    <row r="106" ht="22.5" customHeight="1">
      <c r="A106" s="16" t="s">
        <v>657</v>
      </c>
      <c r="B106" s="86" t="s">
        <v>1036</v>
      </c>
      <c r="C106" s="86" t="s">
        <v>1037</v>
      </c>
      <c r="D106" s="54" t="s">
        <v>782</v>
      </c>
      <c r="E106" s="18" t="s">
        <v>459</v>
      </c>
      <c r="F106" s="88" t="s">
        <v>140</v>
      </c>
      <c r="G106" s="89">
        <v>45964.0</v>
      </c>
      <c r="H106" s="90"/>
      <c r="I106" s="91"/>
      <c r="J106" s="88" t="s">
        <v>1038</v>
      </c>
      <c r="K106" s="86" t="s">
        <v>806</v>
      </c>
    </row>
    <row r="107" ht="22.5" customHeight="1">
      <c r="A107" s="16" t="s">
        <v>794</v>
      </c>
      <c r="B107" s="86" t="s">
        <v>1039</v>
      </c>
      <c r="C107" s="86" t="s">
        <v>1040</v>
      </c>
      <c r="D107" s="54" t="s">
        <v>782</v>
      </c>
      <c r="E107" s="18" t="s">
        <v>459</v>
      </c>
      <c r="F107" s="88" t="s">
        <v>140</v>
      </c>
      <c r="G107" s="89">
        <v>45961.0</v>
      </c>
      <c r="H107" s="90"/>
      <c r="I107" s="91"/>
      <c r="J107" s="88" t="s">
        <v>97</v>
      </c>
      <c r="K107" s="86" t="s">
        <v>806</v>
      </c>
    </row>
    <row r="108" ht="22.5" customHeight="1">
      <c r="A108" s="51"/>
      <c r="B108" s="86" t="s">
        <v>1041</v>
      </c>
      <c r="C108" s="86" t="s">
        <v>1042</v>
      </c>
      <c r="D108" s="54" t="s">
        <v>811</v>
      </c>
      <c r="E108" s="18" t="s">
        <v>459</v>
      </c>
      <c r="F108" s="88" t="s">
        <v>140</v>
      </c>
      <c r="G108" s="89">
        <v>45961.0</v>
      </c>
      <c r="H108" s="90"/>
      <c r="I108" s="91"/>
      <c r="J108" s="88" t="s">
        <v>747</v>
      </c>
      <c r="K108" s="86" t="s">
        <v>806</v>
      </c>
    </row>
    <row r="109" ht="22.5" customHeight="1">
      <c r="A109" s="16" t="s">
        <v>470</v>
      </c>
      <c r="B109" s="51" t="s">
        <v>1043</v>
      </c>
      <c r="C109" s="51" t="s">
        <v>1044</v>
      </c>
      <c r="D109" s="18" t="s">
        <v>1045</v>
      </c>
      <c r="E109" s="18" t="s">
        <v>459</v>
      </c>
      <c r="F109" s="88" t="s">
        <v>47</v>
      </c>
      <c r="G109" s="89">
        <v>45958.0</v>
      </c>
      <c r="H109" s="90">
        <v>327759.0</v>
      </c>
      <c r="I109" s="91"/>
      <c r="J109" s="88" t="s">
        <v>48</v>
      </c>
      <c r="K109" s="51" t="s">
        <v>806</v>
      </c>
    </row>
    <row r="110" ht="22.5" customHeight="1">
      <c r="A110" s="16" t="s">
        <v>473</v>
      </c>
      <c r="B110" s="51" t="s">
        <v>1046</v>
      </c>
      <c r="C110" s="51" t="s">
        <v>1047</v>
      </c>
      <c r="D110" s="54" t="s">
        <v>551</v>
      </c>
      <c r="E110" s="18" t="s">
        <v>459</v>
      </c>
      <c r="F110" s="88" t="s">
        <v>47</v>
      </c>
      <c r="G110" s="89">
        <v>45952.0</v>
      </c>
      <c r="H110" s="90">
        <v>85653.0</v>
      </c>
      <c r="I110" s="91"/>
      <c r="J110" s="88" t="s">
        <v>48</v>
      </c>
      <c r="K110" s="51" t="s">
        <v>806</v>
      </c>
    </row>
    <row r="111" ht="22.5" customHeight="1">
      <c r="A111" s="16" t="s">
        <v>563</v>
      </c>
      <c r="B111" s="51" t="s">
        <v>1048</v>
      </c>
      <c r="C111" s="51" t="s">
        <v>1049</v>
      </c>
      <c r="D111" s="54" t="s">
        <v>933</v>
      </c>
      <c r="E111" s="18" t="s">
        <v>459</v>
      </c>
      <c r="F111" s="88" t="s">
        <v>1050</v>
      </c>
      <c r="G111" s="89">
        <v>45952.0</v>
      </c>
      <c r="H111" s="90"/>
      <c r="I111" s="91"/>
      <c r="J111" s="88" t="s">
        <v>48</v>
      </c>
      <c r="K111" s="51" t="s">
        <v>806</v>
      </c>
    </row>
    <row r="112" ht="22.5" customHeight="1">
      <c r="A112" s="16" t="s">
        <v>545</v>
      </c>
      <c r="B112" s="86" t="s">
        <v>1051</v>
      </c>
      <c r="C112" s="86" t="s">
        <v>1052</v>
      </c>
      <c r="D112" s="54" t="s">
        <v>933</v>
      </c>
      <c r="E112" s="18" t="s">
        <v>459</v>
      </c>
      <c r="F112" s="88" t="s">
        <v>460</v>
      </c>
      <c r="G112" s="89">
        <v>45947.0</v>
      </c>
      <c r="H112" s="90"/>
      <c r="I112" s="91"/>
      <c r="J112" s="88" t="s">
        <v>48</v>
      </c>
      <c r="K112" s="86" t="s">
        <v>806</v>
      </c>
    </row>
    <row r="113" ht="22.5" customHeight="1">
      <c r="A113" s="16" t="s">
        <v>605</v>
      </c>
      <c r="B113" s="86" t="s">
        <v>1053</v>
      </c>
      <c r="C113" s="86" t="s">
        <v>1054</v>
      </c>
      <c r="D113" s="54" t="s">
        <v>551</v>
      </c>
      <c r="E113" s="18" t="s">
        <v>459</v>
      </c>
      <c r="F113" s="88" t="s">
        <v>140</v>
      </c>
      <c r="G113" s="89">
        <v>45947.0</v>
      </c>
      <c r="H113" s="90"/>
      <c r="I113" s="91"/>
      <c r="J113" s="88" t="s">
        <v>48</v>
      </c>
      <c r="K113" s="86" t="s">
        <v>806</v>
      </c>
    </row>
    <row r="114" ht="22.5" customHeight="1">
      <c r="A114" s="16" t="s">
        <v>653</v>
      </c>
      <c r="B114" s="86" t="s">
        <v>1055</v>
      </c>
      <c r="C114" s="86" t="s">
        <v>1056</v>
      </c>
      <c r="D114" s="54" t="s">
        <v>782</v>
      </c>
      <c r="E114" s="18" t="s">
        <v>459</v>
      </c>
      <c r="F114" s="88" t="s">
        <v>140</v>
      </c>
      <c r="G114" s="89">
        <v>45946.0</v>
      </c>
      <c r="H114" s="90"/>
      <c r="I114" s="91"/>
      <c r="J114" s="88" t="s">
        <v>48</v>
      </c>
      <c r="K114" s="86" t="s">
        <v>806</v>
      </c>
    </row>
    <row r="115" ht="22.5" customHeight="1">
      <c r="A115" s="16" t="s">
        <v>542</v>
      </c>
      <c r="B115" s="51" t="s">
        <v>1057</v>
      </c>
      <c r="C115" s="51" t="s">
        <v>1058</v>
      </c>
      <c r="D115" s="54" t="s">
        <v>933</v>
      </c>
      <c r="E115" s="18" t="s">
        <v>896</v>
      </c>
      <c r="F115" s="88" t="s">
        <v>140</v>
      </c>
      <c r="G115" s="89">
        <v>45945.0</v>
      </c>
      <c r="H115" s="90"/>
      <c r="I115" s="91"/>
      <c r="J115" s="88" t="s">
        <v>48</v>
      </c>
      <c r="K115" s="51" t="s">
        <v>806</v>
      </c>
    </row>
    <row r="116" ht="22.5" customHeight="1">
      <c r="A116" s="16" t="s">
        <v>803</v>
      </c>
      <c r="B116" s="86" t="s">
        <v>1059</v>
      </c>
      <c r="C116" s="86" t="s">
        <v>1060</v>
      </c>
      <c r="D116" s="54" t="s">
        <v>999</v>
      </c>
      <c r="E116" s="18" t="s">
        <v>459</v>
      </c>
      <c r="F116" s="88" t="s">
        <v>140</v>
      </c>
      <c r="G116" s="89">
        <v>45945.0</v>
      </c>
      <c r="H116" s="90"/>
      <c r="I116" s="91"/>
      <c r="J116" s="88" t="s">
        <v>710</v>
      </c>
      <c r="K116" s="86" t="s">
        <v>806</v>
      </c>
    </row>
    <row r="117" ht="22.5" customHeight="1">
      <c r="A117" s="16" t="s">
        <v>116</v>
      </c>
      <c r="B117" s="86" t="s">
        <v>1061</v>
      </c>
      <c r="C117" s="86" t="s">
        <v>1062</v>
      </c>
      <c r="D117" s="54" t="s">
        <v>1063</v>
      </c>
      <c r="E117" s="18" t="s">
        <v>1064</v>
      </c>
      <c r="F117" s="88" t="s">
        <v>140</v>
      </c>
      <c r="G117" s="89">
        <v>45944.0</v>
      </c>
      <c r="H117" s="90"/>
      <c r="I117" s="91"/>
      <c r="J117" s="88" t="s">
        <v>48</v>
      </c>
      <c r="K117" s="86" t="s">
        <v>806</v>
      </c>
    </row>
    <row r="118" ht="22.5" customHeight="1">
      <c r="A118" s="16" t="s">
        <v>465</v>
      </c>
      <c r="B118" s="51" t="s">
        <v>1065</v>
      </c>
      <c r="C118" s="51" t="s">
        <v>1066</v>
      </c>
      <c r="D118" s="18" t="s">
        <v>1067</v>
      </c>
      <c r="E118" s="18" t="s">
        <v>459</v>
      </c>
      <c r="F118" s="88" t="s">
        <v>1050</v>
      </c>
      <c r="G118" s="89">
        <v>45940.0</v>
      </c>
      <c r="H118" s="90">
        <v>459065.0</v>
      </c>
      <c r="I118" s="91"/>
      <c r="J118" s="88" t="s">
        <v>48</v>
      </c>
      <c r="K118" s="51" t="s">
        <v>806</v>
      </c>
    </row>
    <row r="119" ht="22.5" customHeight="1">
      <c r="A119" s="16" t="s">
        <v>596</v>
      </c>
      <c r="B119" s="86" t="s">
        <v>1068</v>
      </c>
      <c r="C119" s="86" t="s">
        <v>1069</v>
      </c>
      <c r="D119" s="54" t="s">
        <v>1070</v>
      </c>
      <c r="E119" s="18" t="s">
        <v>459</v>
      </c>
      <c r="F119" s="88" t="s">
        <v>491</v>
      </c>
      <c r="G119" s="89">
        <v>45940.0</v>
      </c>
      <c r="H119" s="90"/>
      <c r="I119" s="91"/>
      <c r="J119" s="88" t="s">
        <v>48</v>
      </c>
      <c r="K119" s="86" t="s">
        <v>806</v>
      </c>
    </row>
    <row r="120" ht="22.5" customHeight="1">
      <c r="A120" s="16" t="s">
        <v>602</v>
      </c>
      <c r="B120" s="86" t="s">
        <v>1071</v>
      </c>
      <c r="C120" s="86" t="s">
        <v>1072</v>
      </c>
      <c r="D120" s="54" t="s">
        <v>1073</v>
      </c>
      <c r="E120" s="18" t="s">
        <v>459</v>
      </c>
      <c r="F120" s="88" t="s">
        <v>140</v>
      </c>
      <c r="G120" s="89">
        <v>45940.0</v>
      </c>
      <c r="H120" s="90"/>
      <c r="I120" s="91"/>
      <c r="J120" s="88" t="s">
        <v>48</v>
      </c>
      <c r="K120" s="86" t="s">
        <v>806</v>
      </c>
    </row>
    <row r="121" ht="22.5" customHeight="1">
      <c r="A121" s="16" t="s">
        <v>113</v>
      </c>
      <c r="B121" s="86" t="s">
        <v>1074</v>
      </c>
      <c r="C121" s="86" t="s">
        <v>1075</v>
      </c>
      <c r="D121" s="54" t="s">
        <v>551</v>
      </c>
      <c r="E121" s="18" t="s">
        <v>459</v>
      </c>
      <c r="F121" s="88" t="s">
        <v>491</v>
      </c>
      <c r="G121" s="89">
        <v>45938.0</v>
      </c>
      <c r="H121" s="90"/>
      <c r="I121" s="91"/>
      <c r="J121" s="88" t="s">
        <v>39</v>
      </c>
      <c r="K121" s="86" t="s">
        <v>806</v>
      </c>
    </row>
    <row r="122" ht="22.5" customHeight="1">
      <c r="A122" s="16" t="s">
        <v>468</v>
      </c>
      <c r="B122" s="51" t="s">
        <v>1076</v>
      </c>
      <c r="C122" s="51" t="s">
        <v>1077</v>
      </c>
      <c r="D122" s="54" t="s">
        <v>933</v>
      </c>
      <c r="E122" s="18" t="s">
        <v>459</v>
      </c>
      <c r="F122" s="88" t="s">
        <v>1050</v>
      </c>
      <c r="G122" s="89">
        <v>45933.0</v>
      </c>
      <c r="H122" s="90">
        <v>282665.0</v>
      </c>
      <c r="I122" s="91"/>
      <c r="J122" s="88" t="s">
        <v>48</v>
      </c>
      <c r="K122" s="51" t="s">
        <v>806</v>
      </c>
    </row>
    <row r="123" ht="22.5" customHeight="1">
      <c r="A123" s="16" t="s">
        <v>663</v>
      </c>
      <c r="B123" s="86" t="s">
        <v>1078</v>
      </c>
      <c r="C123" s="86" t="s">
        <v>1079</v>
      </c>
      <c r="D123" s="54" t="s">
        <v>811</v>
      </c>
      <c r="E123" s="18" t="s">
        <v>459</v>
      </c>
      <c r="F123" s="88" t="s">
        <v>140</v>
      </c>
      <c r="G123" s="89">
        <v>45932.0</v>
      </c>
      <c r="H123" s="90"/>
      <c r="I123" s="91"/>
      <c r="J123" s="88" t="s">
        <v>39</v>
      </c>
      <c r="K123" s="86" t="s">
        <v>806</v>
      </c>
    </row>
    <row r="124" ht="22.5" customHeight="1">
      <c r="A124" s="16" t="s">
        <v>60</v>
      </c>
      <c r="B124" s="51" t="s">
        <v>1080</v>
      </c>
      <c r="C124" s="51" t="s">
        <v>1081</v>
      </c>
      <c r="D124" s="54" t="s">
        <v>551</v>
      </c>
      <c r="E124" s="18" t="s">
        <v>459</v>
      </c>
      <c r="F124" s="88" t="s">
        <v>140</v>
      </c>
      <c r="G124" s="89">
        <v>45931.0</v>
      </c>
      <c r="H124" s="90"/>
      <c r="I124" s="91"/>
      <c r="J124" s="88" t="s">
        <v>1082</v>
      </c>
      <c r="K124" s="51" t="s">
        <v>806</v>
      </c>
    </row>
    <row r="125" ht="22.5" customHeight="1">
      <c r="A125" s="16" t="s">
        <v>802</v>
      </c>
      <c r="B125" s="51" t="s">
        <v>1083</v>
      </c>
      <c r="C125" s="51" t="s">
        <v>1084</v>
      </c>
      <c r="D125" s="54" t="s">
        <v>811</v>
      </c>
      <c r="E125" s="18" t="s">
        <v>459</v>
      </c>
      <c r="F125" s="88" t="s">
        <v>140</v>
      </c>
      <c r="G125" s="89">
        <v>45929.0</v>
      </c>
      <c r="H125" s="90"/>
      <c r="I125" s="91"/>
      <c r="J125" s="88" t="s">
        <v>524</v>
      </c>
      <c r="K125" s="51" t="s">
        <v>806</v>
      </c>
    </row>
    <row r="126" ht="22.5" customHeight="1">
      <c r="A126" s="16" t="s">
        <v>797</v>
      </c>
      <c r="B126" s="86" t="s">
        <v>1085</v>
      </c>
      <c r="C126" s="86" t="s">
        <v>1086</v>
      </c>
      <c r="D126" s="54" t="s">
        <v>551</v>
      </c>
      <c r="E126" s="18" t="s">
        <v>459</v>
      </c>
      <c r="F126" s="88" t="s">
        <v>140</v>
      </c>
      <c r="G126" s="89">
        <v>45926.0</v>
      </c>
      <c r="H126" s="90"/>
      <c r="I126" s="91"/>
      <c r="J126" s="88" t="s">
        <v>39</v>
      </c>
      <c r="K126" s="86" t="s">
        <v>806</v>
      </c>
    </row>
    <row r="127" ht="22.5" customHeight="1">
      <c r="A127" s="16" t="s">
        <v>796</v>
      </c>
      <c r="B127" s="86" t="s">
        <v>1087</v>
      </c>
      <c r="C127" s="86" t="s">
        <v>1088</v>
      </c>
      <c r="D127" s="54" t="s">
        <v>811</v>
      </c>
      <c r="E127" s="18" t="s">
        <v>459</v>
      </c>
      <c r="F127" s="88" t="s">
        <v>140</v>
      </c>
      <c r="G127" s="89">
        <v>45924.0</v>
      </c>
      <c r="H127" s="90"/>
      <c r="I127" s="91"/>
      <c r="J127" s="88" t="s">
        <v>39</v>
      </c>
      <c r="K127" s="86" t="s">
        <v>806</v>
      </c>
    </row>
    <row r="128" ht="22.5" customHeight="1">
      <c r="A128" s="16" t="s">
        <v>183</v>
      </c>
      <c r="B128" s="86" t="s">
        <v>1089</v>
      </c>
      <c r="C128" s="86" t="s">
        <v>1090</v>
      </c>
      <c r="D128" s="54" t="s">
        <v>811</v>
      </c>
      <c r="E128" s="18" t="s">
        <v>459</v>
      </c>
      <c r="F128" s="88" t="s">
        <v>140</v>
      </c>
      <c r="G128" s="89">
        <v>45919.0</v>
      </c>
      <c r="H128" s="90"/>
      <c r="I128" s="91"/>
      <c r="J128" s="88" t="s">
        <v>97</v>
      </c>
      <c r="K128" s="86" t="s">
        <v>806</v>
      </c>
    </row>
    <row r="129" ht="22.5" customHeight="1">
      <c r="A129" s="16" t="s">
        <v>793</v>
      </c>
      <c r="B129" s="86" t="s">
        <v>1091</v>
      </c>
      <c r="C129" s="86" t="s">
        <v>1092</v>
      </c>
      <c r="D129" s="18" t="s">
        <v>1093</v>
      </c>
      <c r="E129" s="18" t="s">
        <v>459</v>
      </c>
      <c r="F129" s="88" t="s">
        <v>140</v>
      </c>
      <c r="G129" s="89">
        <v>45917.0</v>
      </c>
      <c r="H129" s="90"/>
      <c r="I129" s="91"/>
      <c r="J129" s="88" t="s">
        <v>48</v>
      </c>
      <c r="K129" s="86" t="s">
        <v>806</v>
      </c>
    </row>
    <row r="130" ht="22.5" customHeight="1">
      <c r="A130" s="16" t="s">
        <v>652</v>
      </c>
      <c r="B130" s="86" t="s">
        <v>1094</v>
      </c>
      <c r="C130" s="86" t="s">
        <v>1095</v>
      </c>
      <c r="D130" s="18" t="s">
        <v>1096</v>
      </c>
      <c r="E130" s="18" t="s">
        <v>459</v>
      </c>
      <c r="F130" s="88" t="s">
        <v>140</v>
      </c>
      <c r="G130" s="89">
        <v>45912.0</v>
      </c>
      <c r="H130" s="90"/>
      <c r="I130" s="91"/>
      <c r="J130" s="88" t="s">
        <v>48</v>
      </c>
      <c r="K130" s="86" t="s">
        <v>806</v>
      </c>
    </row>
    <row r="131" ht="22.5" customHeight="1">
      <c r="A131" s="16" t="s">
        <v>641</v>
      </c>
      <c r="B131" s="86" t="s">
        <v>1097</v>
      </c>
      <c r="C131" s="86" t="s">
        <v>1098</v>
      </c>
      <c r="D131" s="54" t="s">
        <v>777</v>
      </c>
      <c r="E131" s="18" t="s">
        <v>459</v>
      </c>
      <c r="F131" s="88" t="s">
        <v>140</v>
      </c>
      <c r="G131" s="89">
        <v>45909.0</v>
      </c>
      <c r="H131" s="90"/>
      <c r="I131" s="91"/>
      <c r="J131" s="88" t="s">
        <v>48</v>
      </c>
      <c r="K131" s="86" t="s">
        <v>806</v>
      </c>
    </row>
    <row r="132" ht="22.5" customHeight="1">
      <c r="A132" s="16" t="s">
        <v>638</v>
      </c>
      <c r="B132" s="86" t="s">
        <v>1099</v>
      </c>
      <c r="C132" s="86" t="s">
        <v>1100</v>
      </c>
      <c r="D132" s="54" t="s">
        <v>1034</v>
      </c>
      <c r="E132" s="18" t="s">
        <v>459</v>
      </c>
      <c r="F132" s="88" t="s">
        <v>140</v>
      </c>
      <c r="G132" s="89">
        <v>45897.0</v>
      </c>
      <c r="H132" s="90"/>
      <c r="I132" s="91"/>
      <c r="J132" s="88" t="s">
        <v>524</v>
      </c>
      <c r="K132" s="86" t="s">
        <v>806</v>
      </c>
    </row>
    <row r="133" ht="22.5" customHeight="1">
      <c r="A133" s="16" t="s">
        <v>566</v>
      </c>
      <c r="B133" s="86" t="s">
        <v>1101</v>
      </c>
      <c r="C133" s="86" t="s">
        <v>1102</v>
      </c>
      <c r="D133" s="54" t="s">
        <v>551</v>
      </c>
      <c r="E133" s="18" t="s">
        <v>459</v>
      </c>
      <c r="F133" s="88" t="s">
        <v>47</v>
      </c>
      <c r="G133" s="89">
        <v>45868.0</v>
      </c>
      <c r="H133" s="90">
        <v>3560.0</v>
      </c>
      <c r="I133" s="91"/>
      <c r="J133" s="88" t="s">
        <v>48</v>
      </c>
      <c r="K133" s="86" t="s">
        <v>806</v>
      </c>
    </row>
    <row r="134" ht="22.5" customHeight="1">
      <c r="A134" s="16" t="s">
        <v>177</v>
      </c>
      <c r="B134" s="86" t="s">
        <v>1103</v>
      </c>
      <c r="C134" s="86" t="s">
        <v>1104</v>
      </c>
      <c r="D134" s="54" t="s">
        <v>1105</v>
      </c>
      <c r="E134" s="18" t="s">
        <v>459</v>
      </c>
      <c r="F134" s="88" t="s">
        <v>140</v>
      </c>
      <c r="G134" s="89">
        <v>45868.0</v>
      </c>
      <c r="H134" s="90"/>
      <c r="I134" s="91"/>
      <c r="J134" s="88" t="s">
        <v>39</v>
      </c>
      <c r="K134" s="86" t="s">
        <v>806</v>
      </c>
    </row>
    <row r="135" ht="22.5" customHeight="1">
      <c r="A135" s="16" t="s">
        <v>462</v>
      </c>
      <c r="B135" s="51" t="s">
        <v>1106</v>
      </c>
      <c r="C135" s="51" t="s">
        <v>1107</v>
      </c>
      <c r="D135" s="54" t="s">
        <v>551</v>
      </c>
      <c r="E135" s="18" t="s">
        <v>459</v>
      </c>
      <c r="F135" s="88" t="s">
        <v>37</v>
      </c>
      <c r="G135" s="89">
        <v>45862.0</v>
      </c>
      <c r="H135" s="96">
        <v>370375.0</v>
      </c>
      <c r="I135" s="91"/>
      <c r="J135" s="88" t="s">
        <v>48</v>
      </c>
      <c r="K135" s="51" t="s">
        <v>806</v>
      </c>
    </row>
    <row r="136" ht="22.5" customHeight="1">
      <c r="A136" s="16" t="s">
        <v>558</v>
      </c>
      <c r="B136" s="86" t="s">
        <v>1108</v>
      </c>
      <c r="C136" s="86" t="s">
        <v>1109</v>
      </c>
      <c r="D136" s="54" t="s">
        <v>1110</v>
      </c>
      <c r="E136" s="18" t="s">
        <v>459</v>
      </c>
      <c r="F136" s="88" t="s">
        <v>140</v>
      </c>
      <c r="G136" s="89">
        <v>45855.0</v>
      </c>
      <c r="H136" s="90"/>
      <c r="I136" s="91"/>
      <c r="J136" s="88" t="s">
        <v>48</v>
      </c>
      <c r="K136" s="86" t="s">
        <v>806</v>
      </c>
    </row>
    <row r="137" ht="22.5" customHeight="1">
      <c r="A137" s="16" t="s">
        <v>179</v>
      </c>
      <c r="B137" s="86"/>
      <c r="C137" s="86" t="s">
        <v>1111</v>
      </c>
      <c r="D137" s="54" t="s">
        <v>1105</v>
      </c>
      <c r="E137" s="18" t="s">
        <v>459</v>
      </c>
      <c r="F137" s="88" t="s">
        <v>140</v>
      </c>
      <c r="G137" s="89">
        <v>45855.0</v>
      </c>
      <c r="H137" s="90"/>
      <c r="I137" s="91"/>
      <c r="J137" s="88" t="s">
        <v>48</v>
      </c>
      <c r="K137" s="86" t="s">
        <v>806</v>
      </c>
    </row>
    <row r="138" ht="22.5" customHeight="1">
      <c r="A138" s="16" t="s">
        <v>552</v>
      </c>
      <c r="B138" s="86" t="s">
        <v>1112</v>
      </c>
      <c r="C138" s="86" t="s">
        <v>1113</v>
      </c>
      <c r="D138" s="54" t="s">
        <v>933</v>
      </c>
      <c r="E138" s="18" t="s">
        <v>459</v>
      </c>
      <c r="F138" s="88" t="s">
        <v>140</v>
      </c>
      <c r="G138" s="89">
        <v>45824.0</v>
      </c>
      <c r="H138" s="90"/>
      <c r="I138" s="91"/>
      <c r="J138" s="88" t="s">
        <v>159</v>
      </c>
      <c r="K138" s="86" t="s">
        <v>806</v>
      </c>
    </row>
    <row r="139" ht="22.5" customHeight="1">
      <c r="A139" s="16" t="s">
        <v>488</v>
      </c>
      <c r="B139" s="51" t="s">
        <v>1114</v>
      </c>
      <c r="C139" s="51" t="s">
        <v>1115</v>
      </c>
      <c r="D139" s="54" t="s">
        <v>551</v>
      </c>
      <c r="E139" s="18" t="s">
        <v>459</v>
      </c>
      <c r="F139" s="88" t="s">
        <v>1050</v>
      </c>
      <c r="G139" s="89">
        <v>45822.0</v>
      </c>
      <c r="H139" s="90">
        <v>198958.0</v>
      </c>
      <c r="I139" s="91"/>
      <c r="J139" s="88" t="s">
        <v>48</v>
      </c>
      <c r="K139" s="51" t="s">
        <v>806</v>
      </c>
    </row>
    <row r="140" ht="22.5" customHeight="1">
      <c r="A140" s="16" t="s">
        <v>665</v>
      </c>
      <c r="B140" s="86" t="s">
        <v>1116</v>
      </c>
      <c r="C140" s="86" t="s">
        <v>424</v>
      </c>
      <c r="D140" s="18" t="s">
        <v>1117</v>
      </c>
      <c r="E140" s="18" t="s">
        <v>459</v>
      </c>
      <c r="F140" s="88" t="s">
        <v>140</v>
      </c>
      <c r="G140" s="89">
        <v>45814.0</v>
      </c>
      <c r="H140" s="90"/>
      <c r="I140" s="91"/>
      <c r="J140" s="88" t="s">
        <v>97</v>
      </c>
      <c r="K140" s="86" t="s">
        <v>806</v>
      </c>
    </row>
    <row r="141" ht="22.5" customHeight="1">
      <c r="A141" s="16" t="s">
        <v>502</v>
      </c>
      <c r="B141" s="51" t="s">
        <v>1118</v>
      </c>
      <c r="C141" s="51" t="s">
        <v>1119</v>
      </c>
      <c r="D141" s="54" t="s">
        <v>933</v>
      </c>
      <c r="E141" s="18" t="s">
        <v>459</v>
      </c>
      <c r="F141" s="88" t="s">
        <v>1120</v>
      </c>
      <c r="G141" s="89">
        <v>45791.0</v>
      </c>
      <c r="H141" s="90">
        <v>24369.0</v>
      </c>
      <c r="I141" s="91"/>
      <c r="J141" s="88" t="s">
        <v>48</v>
      </c>
      <c r="K141" s="51" t="s">
        <v>806</v>
      </c>
    </row>
    <row r="142" ht="22.5" customHeight="1">
      <c r="A142" s="16" t="s">
        <v>482</v>
      </c>
      <c r="B142" s="51" t="s">
        <v>1121</v>
      </c>
      <c r="C142" s="51" t="s">
        <v>1122</v>
      </c>
      <c r="D142" s="18" t="s">
        <v>1123</v>
      </c>
      <c r="E142" s="18" t="s">
        <v>459</v>
      </c>
      <c r="F142" s="88" t="s">
        <v>47</v>
      </c>
      <c r="G142" s="89">
        <v>45784.0</v>
      </c>
      <c r="H142" s="90">
        <v>588274.0</v>
      </c>
      <c r="I142" s="91"/>
      <c r="J142" s="88" t="s">
        <v>48</v>
      </c>
      <c r="K142" s="51" t="s">
        <v>806</v>
      </c>
    </row>
    <row r="143" ht="22.5" customHeight="1">
      <c r="A143" s="16" t="s">
        <v>727</v>
      </c>
      <c r="B143" s="51" t="s">
        <v>1124</v>
      </c>
      <c r="C143" s="51" t="s">
        <v>1125</v>
      </c>
      <c r="D143" s="18" t="s">
        <v>777</v>
      </c>
      <c r="E143" s="18" t="s">
        <v>459</v>
      </c>
      <c r="F143" s="88" t="s">
        <v>37</v>
      </c>
      <c r="G143" s="89">
        <v>45775.0</v>
      </c>
      <c r="H143" s="90">
        <v>117537.0</v>
      </c>
      <c r="I143" s="91"/>
      <c r="J143" s="88" t="s">
        <v>48</v>
      </c>
      <c r="K143" s="51" t="s">
        <v>806</v>
      </c>
    </row>
    <row r="144" ht="22.5" customHeight="1">
      <c r="A144" s="16" t="s">
        <v>144</v>
      </c>
      <c r="B144" s="86" t="s">
        <v>1126</v>
      </c>
      <c r="C144" s="86" t="s">
        <v>1127</v>
      </c>
      <c r="D144" s="54" t="s">
        <v>551</v>
      </c>
      <c r="E144" s="18" t="s">
        <v>459</v>
      </c>
      <c r="F144" s="88" t="s">
        <v>140</v>
      </c>
      <c r="G144" s="89">
        <v>45770.0</v>
      </c>
      <c r="H144" s="90"/>
      <c r="I144" s="91"/>
      <c r="J144" s="88" t="s">
        <v>39</v>
      </c>
      <c r="K144" s="86" t="s">
        <v>806</v>
      </c>
    </row>
    <row r="145" ht="22.5" customHeight="1">
      <c r="A145" s="16" t="s">
        <v>555</v>
      </c>
      <c r="B145" s="86" t="s">
        <v>1128</v>
      </c>
      <c r="C145" s="86" t="s">
        <v>1129</v>
      </c>
      <c r="D145" s="54" t="s">
        <v>551</v>
      </c>
      <c r="E145" s="18" t="s">
        <v>459</v>
      </c>
      <c r="F145" s="88" t="s">
        <v>140</v>
      </c>
      <c r="G145" s="89">
        <v>45769.0</v>
      </c>
      <c r="H145" s="90"/>
      <c r="I145" s="91"/>
      <c r="J145" s="88" t="s">
        <v>48</v>
      </c>
      <c r="K145" s="86" t="s">
        <v>806</v>
      </c>
    </row>
    <row r="146" ht="22.5" customHeight="1">
      <c r="A146" s="51"/>
      <c r="B146" s="86" t="s">
        <v>1130</v>
      </c>
      <c r="C146" s="86" t="s">
        <v>1131</v>
      </c>
      <c r="D146" s="54" t="s">
        <v>811</v>
      </c>
      <c r="E146" s="18" t="s">
        <v>459</v>
      </c>
      <c r="F146" s="88" t="s">
        <v>1050</v>
      </c>
      <c r="G146" s="89">
        <v>45736.0</v>
      </c>
      <c r="H146" s="90"/>
      <c r="I146" s="91"/>
      <c r="J146" s="88" t="s">
        <v>48</v>
      </c>
      <c r="K146" s="86" t="s">
        <v>806</v>
      </c>
    </row>
    <row r="147" ht="22.5" customHeight="1">
      <c r="A147" s="16" t="s">
        <v>485</v>
      </c>
      <c r="B147" s="51" t="s">
        <v>1132</v>
      </c>
      <c r="C147" s="51" t="s">
        <v>1133</v>
      </c>
      <c r="D147" s="54" t="s">
        <v>551</v>
      </c>
      <c r="E147" s="18" t="s">
        <v>459</v>
      </c>
      <c r="F147" s="88" t="s">
        <v>1050</v>
      </c>
      <c r="G147" s="89">
        <v>45700.0</v>
      </c>
      <c r="H147" s="90">
        <v>29297.0</v>
      </c>
      <c r="I147" s="91"/>
      <c r="J147" s="88" t="s">
        <v>48</v>
      </c>
      <c r="K147" s="51" t="s">
        <v>806</v>
      </c>
    </row>
    <row r="148" ht="22.5" customHeight="1">
      <c r="A148" s="16" t="s">
        <v>647</v>
      </c>
      <c r="B148" s="86" t="s">
        <v>1134</v>
      </c>
      <c r="C148" s="86" t="s">
        <v>1135</v>
      </c>
      <c r="D148" s="54" t="s">
        <v>888</v>
      </c>
      <c r="E148" s="18" t="s">
        <v>459</v>
      </c>
      <c r="F148" s="88" t="s">
        <v>140</v>
      </c>
      <c r="G148" s="89">
        <v>45699.0</v>
      </c>
      <c r="H148" s="90"/>
      <c r="I148" s="91"/>
      <c r="J148" s="88" t="s">
        <v>39</v>
      </c>
      <c r="K148" s="86" t="s">
        <v>806</v>
      </c>
    </row>
    <row r="149" ht="22.5" customHeight="1">
      <c r="A149" s="16" t="s">
        <v>648</v>
      </c>
      <c r="B149" s="86" t="s">
        <v>1136</v>
      </c>
      <c r="C149" s="86" t="s">
        <v>1137</v>
      </c>
      <c r="D149" s="54" t="s">
        <v>933</v>
      </c>
      <c r="E149" s="18" t="s">
        <v>459</v>
      </c>
      <c r="F149" s="88" t="s">
        <v>47</v>
      </c>
      <c r="G149" s="89">
        <v>45693.0</v>
      </c>
      <c r="H149" s="90"/>
      <c r="I149" s="91"/>
      <c r="J149" s="88" t="s">
        <v>815</v>
      </c>
      <c r="K149" s="86" t="s">
        <v>806</v>
      </c>
    </row>
    <row r="150" ht="22.5" customHeight="1">
      <c r="A150" s="16" t="s">
        <v>508</v>
      </c>
      <c r="B150" s="51" t="s">
        <v>1138</v>
      </c>
      <c r="C150" s="51" t="s">
        <v>1139</v>
      </c>
      <c r="D150" s="54" t="s">
        <v>933</v>
      </c>
      <c r="E150" s="18" t="s">
        <v>459</v>
      </c>
      <c r="F150" s="88" t="s">
        <v>47</v>
      </c>
      <c r="G150" s="89">
        <v>45637.0</v>
      </c>
      <c r="H150" s="90">
        <v>30783.0</v>
      </c>
      <c r="I150" s="91"/>
      <c r="J150" s="88" t="s">
        <v>48</v>
      </c>
      <c r="K150" s="51" t="s">
        <v>806</v>
      </c>
    </row>
    <row r="151" ht="22.5" customHeight="1">
      <c r="A151" s="16" t="s">
        <v>511</v>
      </c>
      <c r="B151" s="51" t="s">
        <v>1138</v>
      </c>
      <c r="C151" s="51" t="s">
        <v>1139</v>
      </c>
      <c r="D151" s="54" t="s">
        <v>933</v>
      </c>
      <c r="E151" s="18" t="s">
        <v>974</v>
      </c>
      <c r="F151" s="88" t="s">
        <v>491</v>
      </c>
      <c r="G151" s="89">
        <v>45637.0</v>
      </c>
      <c r="H151" s="90"/>
      <c r="I151" s="91"/>
      <c r="J151" s="88" t="s">
        <v>48</v>
      </c>
      <c r="K151" s="51" t="s">
        <v>806</v>
      </c>
    </row>
    <row r="152" ht="22.5" customHeight="1">
      <c r="A152" s="16" t="s">
        <v>662</v>
      </c>
      <c r="B152" s="86" t="s">
        <v>1140</v>
      </c>
      <c r="C152" s="86" t="s">
        <v>1141</v>
      </c>
      <c r="D152" s="54" t="s">
        <v>991</v>
      </c>
      <c r="E152" s="18" t="s">
        <v>459</v>
      </c>
      <c r="F152" s="88" t="s">
        <v>140</v>
      </c>
      <c r="G152" s="89">
        <v>45560.0</v>
      </c>
      <c r="H152" s="90"/>
      <c r="I152" s="91"/>
      <c r="J152" s="88" t="s">
        <v>48</v>
      </c>
      <c r="K152" s="86" t="s">
        <v>806</v>
      </c>
    </row>
    <row r="153" ht="22.5" customHeight="1">
      <c r="A153" s="16" t="s">
        <v>599</v>
      </c>
      <c r="B153" s="86" t="s">
        <v>1142</v>
      </c>
      <c r="C153" s="86" t="s">
        <v>1143</v>
      </c>
      <c r="D153" s="54" t="s">
        <v>537</v>
      </c>
      <c r="E153" s="18" t="s">
        <v>896</v>
      </c>
      <c r="F153" s="88" t="s">
        <v>140</v>
      </c>
      <c r="G153" s="89">
        <v>45553.0</v>
      </c>
      <c r="H153" s="90"/>
      <c r="I153" s="91"/>
      <c r="J153" s="88" t="s">
        <v>48</v>
      </c>
      <c r="K153" s="86" t="s">
        <v>806</v>
      </c>
    </row>
    <row r="154" ht="22.5" customHeight="1">
      <c r="A154" s="16" t="s">
        <v>492</v>
      </c>
      <c r="B154" s="51" t="s">
        <v>1144</v>
      </c>
      <c r="C154" s="51" t="s">
        <v>1145</v>
      </c>
      <c r="D154" s="54" t="s">
        <v>537</v>
      </c>
      <c r="E154" s="18" t="s">
        <v>459</v>
      </c>
      <c r="F154" s="88" t="s">
        <v>1050</v>
      </c>
      <c r="G154" s="89">
        <v>45519.0</v>
      </c>
      <c r="H154" s="90">
        <v>466101.0</v>
      </c>
      <c r="I154" s="91"/>
      <c r="J154" s="88" t="s">
        <v>48</v>
      </c>
      <c r="K154" s="51" t="s">
        <v>806</v>
      </c>
    </row>
    <row r="155" ht="22.5" customHeight="1">
      <c r="A155" s="16" t="s">
        <v>528</v>
      </c>
      <c r="B155" s="51" t="s">
        <v>1146</v>
      </c>
      <c r="C155" s="51" t="s">
        <v>494</v>
      </c>
      <c r="D155" s="54" t="s">
        <v>933</v>
      </c>
      <c r="E155" s="18" t="s">
        <v>459</v>
      </c>
      <c r="F155" s="88" t="s">
        <v>1120</v>
      </c>
      <c r="G155" s="89">
        <v>45516.0</v>
      </c>
      <c r="H155" s="90">
        <v>8620.0</v>
      </c>
      <c r="I155" s="91"/>
      <c r="J155" s="88" t="s">
        <v>159</v>
      </c>
      <c r="K155" s="51" t="s">
        <v>806</v>
      </c>
    </row>
    <row r="156" ht="22.5" customHeight="1">
      <c r="A156" s="16" t="s">
        <v>798</v>
      </c>
      <c r="B156" s="86" t="s">
        <v>1147</v>
      </c>
      <c r="C156" s="86" t="s">
        <v>1148</v>
      </c>
      <c r="D156" s="54" t="s">
        <v>1149</v>
      </c>
      <c r="E156" s="18" t="s">
        <v>889</v>
      </c>
      <c r="F156" s="88" t="s">
        <v>140</v>
      </c>
      <c r="G156" s="89">
        <v>45516.0</v>
      </c>
      <c r="H156" s="90"/>
      <c r="I156" s="91"/>
      <c r="J156" s="88" t="s">
        <v>48</v>
      </c>
      <c r="K156" s="86" t="s">
        <v>806</v>
      </c>
    </row>
    <row r="157" ht="22.5" customHeight="1">
      <c r="A157" s="16" t="s">
        <v>525</v>
      </c>
      <c r="B157" s="51" t="s">
        <v>1150</v>
      </c>
      <c r="C157" s="51" t="s">
        <v>494</v>
      </c>
      <c r="D157" s="54" t="s">
        <v>933</v>
      </c>
      <c r="E157" s="18" t="s">
        <v>459</v>
      </c>
      <c r="F157" s="88" t="s">
        <v>1050</v>
      </c>
      <c r="G157" s="89">
        <v>45513.0</v>
      </c>
      <c r="H157" s="90">
        <v>41051.0</v>
      </c>
      <c r="I157" s="91"/>
      <c r="J157" s="88" t="s">
        <v>39</v>
      </c>
      <c r="K157" s="51" t="s">
        <v>806</v>
      </c>
    </row>
    <row r="158" ht="22.5" customHeight="1">
      <c r="A158" s="16" t="s">
        <v>181</v>
      </c>
      <c r="B158" s="86" t="s">
        <v>1151</v>
      </c>
      <c r="C158" s="86" t="s">
        <v>1152</v>
      </c>
      <c r="D158" s="18" t="s">
        <v>1153</v>
      </c>
      <c r="E158" s="18" t="s">
        <v>459</v>
      </c>
      <c r="F158" s="88" t="s">
        <v>140</v>
      </c>
      <c r="G158" s="89">
        <v>45449.0</v>
      </c>
      <c r="H158" s="90"/>
      <c r="I158" s="91"/>
      <c r="J158" s="88" t="s">
        <v>97</v>
      </c>
      <c r="K158" s="86" t="s">
        <v>806</v>
      </c>
    </row>
    <row r="159" ht="22.5" customHeight="1">
      <c r="A159" s="16" t="s">
        <v>629</v>
      </c>
      <c r="B159" s="86" t="s">
        <v>1154</v>
      </c>
      <c r="C159" s="86" t="s">
        <v>1155</v>
      </c>
      <c r="D159" s="54" t="s">
        <v>933</v>
      </c>
      <c r="E159" s="18" t="s">
        <v>459</v>
      </c>
      <c r="F159" s="88" t="s">
        <v>140</v>
      </c>
      <c r="G159" s="89">
        <v>45421.0</v>
      </c>
      <c r="H159" s="90"/>
      <c r="I159" s="91"/>
      <c r="J159" s="88" t="s">
        <v>524</v>
      </c>
      <c r="K159" s="86" t="s">
        <v>806</v>
      </c>
    </row>
    <row r="160" ht="22.5" customHeight="1">
      <c r="A160" s="16" t="s">
        <v>644</v>
      </c>
      <c r="B160" s="86" t="s">
        <v>1156</v>
      </c>
      <c r="C160" s="86" t="s">
        <v>1157</v>
      </c>
      <c r="D160" s="54" t="s">
        <v>537</v>
      </c>
      <c r="E160" s="18" t="s">
        <v>459</v>
      </c>
      <c r="F160" s="88" t="s">
        <v>47</v>
      </c>
      <c r="G160" s="89">
        <v>45406.0</v>
      </c>
      <c r="H160" s="90"/>
      <c r="I160" s="91"/>
      <c r="J160" s="88" t="s">
        <v>39</v>
      </c>
      <c r="K160" s="86" t="s">
        <v>806</v>
      </c>
    </row>
    <row r="161" ht="22.5" customHeight="1">
      <c r="A161" s="16" t="s">
        <v>98</v>
      </c>
      <c r="B161" s="86" t="s">
        <v>1158</v>
      </c>
      <c r="C161" s="86" t="s">
        <v>1159</v>
      </c>
      <c r="D161" s="54" t="s">
        <v>551</v>
      </c>
      <c r="E161" s="18" t="s">
        <v>459</v>
      </c>
      <c r="F161" s="88" t="s">
        <v>140</v>
      </c>
      <c r="G161" s="89">
        <v>45406.0</v>
      </c>
      <c r="H161" s="90"/>
      <c r="I161" s="91"/>
      <c r="J161" s="88" t="s">
        <v>48</v>
      </c>
      <c r="K161" s="86" t="s">
        <v>806</v>
      </c>
    </row>
    <row r="162" ht="22.5" customHeight="1">
      <c r="A162" s="16" t="s">
        <v>476</v>
      </c>
      <c r="B162" s="51" t="s">
        <v>1160</v>
      </c>
      <c r="C162" s="51" t="s">
        <v>1161</v>
      </c>
      <c r="D162" s="18" t="s">
        <v>1162</v>
      </c>
      <c r="E162" s="18" t="s">
        <v>459</v>
      </c>
      <c r="F162" s="88" t="s">
        <v>1050</v>
      </c>
      <c r="G162" s="89">
        <v>45384.0</v>
      </c>
      <c r="H162" s="90">
        <v>92642.0</v>
      </c>
      <c r="I162" s="91"/>
      <c r="J162" s="88" t="s">
        <v>159</v>
      </c>
      <c r="K162" s="51" t="s">
        <v>806</v>
      </c>
    </row>
    <row r="163" ht="22.5" customHeight="1">
      <c r="A163" s="51"/>
      <c r="B163" s="86" t="s">
        <v>1163</v>
      </c>
      <c r="C163" s="86" t="s">
        <v>1164</v>
      </c>
      <c r="D163" s="54" t="s">
        <v>551</v>
      </c>
      <c r="E163" s="18" t="s">
        <v>459</v>
      </c>
      <c r="F163" s="88" t="s">
        <v>140</v>
      </c>
      <c r="G163" s="89">
        <v>45251.0</v>
      </c>
      <c r="H163" s="90"/>
      <c r="I163" s="91"/>
      <c r="J163" s="88" t="s">
        <v>39</v>
      </c>
      <c r="K163" s="86" t="s">
        <v>806</v>
      </c>
    </row>
    <row r="164" ht="22.5" customHeight="1">
      <c r="A164" s="16" t="s">
        <v>495</v>
      </c>
      <c r="B164" s="51" t="s">
        <v>1165</v>
      </c>
      <c r="C164" s="51" t="s">
        <v>1166</v>
      </c>
      <c r="D164" s="18" t="s">
        <v>1123</v>
      </c>
      <c r="E164" s="18" t="s">
        <v>459</v>
      </c>
      <c r="F164" s="88" t="s">
        <v>1050</v>
      </c>
      <c r="G164" s="89">
        <v>45203.0</v>
      </c>
      <c r="H164" s="90">
        <v>293263.0</v>
      </c>
      <c r="I164" s="91"/>
      <c r="J164" s="88" t="s">
        <v>48</v>
      </c>
      <c r="K164" s="51" t="s">
        <v>806</v>
      </c>
    </row>
    <row r="165" ht="22.5" customHeight="1">
      <c r="A165" s="16" t="s">
        <v>569</v>
      </c>
      <c r="B165" s="86" t="s">
        <v>1167</v>
      </c>
      <c r="C165" s="86" t="s">
        <v>1168</v>
      </c>
      <c r="D165" s="18" t="s">
        <v>1123</v>
      </c>
      <c r="E165" s="18" t="s">
        <v>459</v>
      </c>
      <c r="F165" s="88" t="s">
        <v>47</v>
      </c>
      <c r="G165" s="89">
        <v>45181.0</v>
      </c>
      <c r="H165" s="90">
        <v>110656.0</v>
      </c>
      <c r="I165" s="91"/>
      <c r="J165" s="88" t="s">
        <v>48</v>
      </c>
      <c r="K165" s="86" t="s">
        <v>806</v>
      </c>
    </row>
    <row r="166" ht="22.5" customHeight="1">
      <c r="A166" s="16" t="s">
        <v>626</v>
      </c>
      <c r="B166" s="86" t="s">
        <v>1169</v>
      </c>
      <c r="C166" s="86" t="s">
        <v>1170</v>
      </c>
      <c r="D166" s="54" t="s">
        <v>933</v>
      </c>
      <c r="E166" s="18" t="s">
        <v>459</v>
      </c>
      <c r="F166" s="88" t="s">
        <v>140</v>
      </c>
      <c r="G166" s="89">
        <v>45008.0</v>
      </c>
      <c r="H166" s="90"/>
      <c r="I166" s="91"/>
      <c r="J166" s="88" t="s">
        <v>524</v>
      </c>
      <c r="K166" s="86" t="s">
        <v>806</v>
      </c>
    </row>
    <row r="167" ht="22.5" customHeight="1">
      <c r="A167" s="16" t="s">
        <v>659</v>
      </c>
      <c r="B167" s="86" t="s">
        <v>1171</v>
      </c>
      <c r="C167" s="86" t="s">
        <v>1172</v>
      </c>
      <c r="D167" s="18" t="s">
        <v>933</v>
      </c>
      <c r="E167" s="18" t="s">
        <v>459</v>
      </c>
      <c r="F167" s="88" t="s">
        <v>140</v>
      </c>
      <c r="G167" s="89">
        <v>44916.0</v>
      </c>
      <c r="H167" s="90"/>
      <c r="I167" s="91"/>
      <c r="J167" s="88" t="s">
        <v>48</v>
      </c>
      <c r="K167" s="86" t="s">
        <v>806</v>
      </c>
    </row>
    <row r="168" ht="22.5" customHeight="1">
      <c r="A168" s="16" t="s">
        <v>623</v>
      </c>
      <c r="B168" s="86" t="s">
        <v>1173</v>
      </c>
      <c r="C168" s="86" t="s">
        <v>1174</v>
      </c>
      <c r="D168" s="54" t="s">
        <v>1175</v>
      </c>
      <c r="E168" s="18" t="s">
        <v>459</v>
      </c>
      <c r="F168" s="88" t="s">
        <v>140</v>
      </c>
      <c r="G168" s="89">
        <v>44744.0</v>
      </c>
      <c r="H168" s="90"/>
      <c r="I168" s="91"/>
      <c r="J168" s="88" t="s">
        <v>39</v>
      </c>
      <c r="K168" s="86" t="s">
        <v>806</v>
      </c>
    </row>
    <row r="169" ht="22.5" customHeight="1">
      <c r="A169" s="16" t="s">
        <v>658</v>
      </c>
      <c r="B169" s="86" t="s">
        <v>1176</v>
      </c>
      <c r="C169" s="86" t="s">
        <v>841</v>
      </c>
      <c r="D169" s="18" t="s">
        <v>1177</v>
      </c>
      <c r="E169" s="18" t="s">
        <v>459</v>
      </c>
      <c r="F169" s="88" t="s">
        <v>1178</v>
      </c>
      <c r="G169" s="89">
        <v>44725.0</v>
      </c>
      <c r="H169" s="90"/>
      <c r="I169" s="91"/>
      <c r="J169" s="88" t="s">
        <v>48</v>
      </c>
      <c r="K169" s="86" t="s">
        <v>806</v>
      </c>
    </row>
    <row r="170" ht="22.5" customHeight="1">
      <c r="A170" s="16" t="s">
        <v>74</v>
      </c>
      <c r="B170" s="86" t="s">
        <v>1179</v>
      </c>
      <c r="C170" s="86" t="s">
        <v>1180</v>
      </c>
      <c r="D170" s="54" t="s">
        <v>811</v>
      </c>
      <c r="E170" s="18" t="s">
        <v>459</v>
      </c>
      <c r="F170" s="88" t="s">
        <v>140</v>
      </c>
      <c r="G170" s="89">
        <v>44405.0</v>
      </c>
      <c r="H170" s="90"/>
      <c r="I170" s="91"/>
      <c r="J170" s="88" t="s">
        <v>48</v>
      </c>
      <c r="K170" s="86" t="s">
        <v>806</v>
      </c>
    </row>
    <row r="171" ht="22.5" customHeight="1">
      <c r="A171" s="16" t="s">
        <v>68</v>
      </c>
      <c r="B171" s="86" t="s">
        <v>1181</v>
      </c>
      <c r="C171" s="86" t="s">
        <v>1182</v>
      </c>
      <c r="D171" s="54" t="s">
        <v>811</v>
      </c>
      <c r="E171" s="18" t="s">
        <v>459</v>
      </c>
      <c r="F171" s="88" t="s">
        <v>460</v>
      </c>
      <c r="G171" s="89">
        <v>44400.0</v>
      </c>
      <c r="H171" s="90"/>
      <c r="I171" s="91"/>
      <c r="J171" s="88" t="s">
        <v>97</v>
      </c>
      <c r="K171" s="86" t="s">
        <v>806</v>
      </c>
    </row>
    <row r="172" ht="22.5" customHeight="1">
      <c r="A172" s="16" t="s">
        <v>456</v>
      </c>
      <c r="B172" s="16" t="s">
        <v>1183</v>
      </c>
      <c r="C172" s="16" t="s">
        <v>1184</v>
      </c>
      <c r="D172" s="97" t="s">
        <v>1185</v>
      </c>
      <c r="E172" s="98"/>
      <c r="F172" s="99" t="s">
        <v>140</v>
      </c>
      <c r="G172" s="100">
        <v>43923.0</v>
      </c>
      <c r="H172" s="101">
        <v>15000.0</v>
      </c>
      <c r="I172" s="102"/>
      <c r="J172" s="99" t="s">
        <v>676</v>
      </c>
      <c r="K172" s="103" t="s">
        <v>1186</v>
      </c>
    </row>
    <row r="173" ht="22.5" customHeight="1">
      <c r="A173" s="16" t="s">
        <v>479</v>
      </c>
      <c r="B173" s="51" t="s">
        <v>1187</v>
      </c>
      <c r="C173" s="51" t="s">
        <v>1188</v>
      </c>
      <c r="D173" s="54" t="s">
        <v>933</v>
      </c>
      <c r="E173" s="18" t="s">
        <v>459</v>
      </c>
      <c r="F173" s="88" t="s">
        <v>1120</v>
      </c>
      <c r="G173" s="89">
        <v>43923.0</v>
      </c>
      <c r="H173" s="90">
        <v>45200.0</v>
      </c>
      <c r="I173" s="91"/>
      <c r="J173" s="88" t="s">
        <v>159</v>
      </c>
      <c r="K173" s="51" t="s">
        <v>806</v>
      </c>
    </row>
    <row r="174" ht="22.5" customHeight="1">
      <c r="A174" s="16" t="s">
        <v>664</v>
      </c>
      <c r="B174" s="86" t="s">
        <v>1189</v>
      </c>
      <c r="C174" s="86" t="s">
        <v>1190</v>
      </c>
      <c r="D174" s="54" t="s">
        <v>811</v>
      </c>
      <c r="E174" s="18" t="s">
        <v>1191</v>
      </c>
      <c r="F174" s="88" t="s">
        <v>140</v>
      </c>
      <c r="G174" s="89">
        <v>43018.0</v>
      </c>
      <c r="H174" s="90"/>
      <c r="I174" s="91"/>
      <c r="J174" s="88" t="s">
        <v>48</v>
      </c>
      <c r="K174" s="86" t="s">
        <v>806</v>
      </c>
    </row>
    <row r="175" ht="22.5" customHeight="1">
      <c r="A175" s="16" t="s">
        <v>175</v>
      </c>
      <c r="B175" s="86" t="s">
        <v>1192</v>
      </c>
      <c r="C175" s="86" t="s">
        <v>1193</v>
      </c>
      <c r="D175" s="54" t="s">
        <v>811</v>
      </c>
      <c r="E175" s="18" t="s">
        <v>459</v>
      </c>
      <c r="F175" s="88" t="s">
        <v>140</v>
      </c>
      <c r="G175" s="89">
        <v>42724.0</v>
      </c>
      <c r="H175" s="90"/>
      <c r="I175" s="91"/>
      <c r="J175" s="88" t="s">
        <v>39</v>
      </c>
      <c r="K175" s="86" t="s">
        <v>806</v>
      </c>
    </row>
    <row r="176" ht="22.5" customHeight="1">
      <c r="A176" s="51"/>
      <c r="B176" s="86" t="s">
        <v>1194</v>
      </c>
      <c r="C176" s="86" t="s">
        <v>1195</v>
      </c>
      <c r="D176" s="54" t="s">
        <v>811</v>
      </c>
      <c r="E176" s="18" t="s">
        <v>459</v>
      </c>
      <c r="F176" s="88" t="s">
        <v>47</v>
      </c>
      <c r="G176" s="89">
        <v>42449.0</v>
      </c>
      <c r="H176" s="90"/>
      <c r="I176" s="91"/>
      <c r="J176" s="88" t="s">
        <v>159</v>
      </c>
      <c r="K176" s="86" t="s">
        <v>806</v>
      </c>
    </row>
    <row r="177" ht="22.5" customHeight="1">
      <c r="A177" s="16" t="s">
        <v>521</v>
      </c>
      <c r="B177" s="86" t="s">
        <v>1196</v>
      </c>
      <c r="C177" s="86" t="s">
        <v>1197</v>
      </c>
      <c r="D177" s="54" t="s">
        <v>933</v>
      </c>
      <c r="E177" s="18" t="s">
        <v>788</v>
      </c>
      <c r="F177" s="88" t="s">
        <v>47</v>
      </c>
      <c r="G177" s="89"/>
      <c r="H177" s="90">
        <v>36383.0</v>
      </c>
      <c r="I177" s="91"/>
      <c r="J177" s="88" t="s">
        <v>48</v>
      </c>
      <c r="K177" s="86" t="s">
        <v>806</v>
      </c>
    </row>
    <row r="178" ht="22.5" customHeight="1">
      <c r="A178" s="16" t="s">
        <v>131</v>
      </c>
      <c r="B178" s="86" t="s">
        <v>1198</v>
      </c>
      <c r="C178" s="86" t="s">
        <v>1199</v>
      </c>
      <c r="D178" s="18" t="s">
        <v>1200</v>
      </c>
      <c r="E178" s="18" t="s">
        <v>1201</v>
      </c>
      <c r="F178" s="88" t="s">
        <v>140</v>
      </c>
      <c r="G178" s="89"/>
      <c r="H178" s="90"/>
      <c r="I178" s="91"/>
      <c r="J178" s="88" t="s">
        <v>524</v>
      </c>
      <c r="K178" s="86" t="s">
        <v>806</v>
      </c>
    </row>
    <row r="179" ht="22.5" customHeight="1">
      <c r="A179" s="51"/>
      <c r="B179" s="86"/>
      <c r="C179" s="86" t="s">
        <v>1202</v>
      </c>
      <c r="D179" s="18"/>
      <c r="E179" s="18" t="s">
        <v>459</v>
      </c>
      <c r="F179" s="93"/>
      <c r="G179" s="89"/>
      <c r="H179" s="90"/>
      <c r="I179" s="91"/>
      <c r="J179" s="93"/>
      <c r="K179" s="86" t="s">
        <v>806</v>
      </c>
    </row>
    <row r="180" ht="22.5" customHeight="1">
      <c r="A180" s="51"/>
      <c r="B180" s="86" t="s">
        <v>1203</v>
      </c>
      <c r="C180" s="86" t="s">
        <v>1204</v>
      </c>
      <c r="D180" s="18" t="s">
        <v>1205</v>
      </c>
      <c r="E180" s="18" t="s">
        <v>459</v>
      </c>
      <c r="F180" s="88" t="s">
        <v>491</v>
      </c>
      <c r="G180" s="89"/>
      <c r="H180" s="90"/>
      <c r="I180" s="91"/>
      <c r="J180" s="93"/>
      <c r="K180" s="86" t="s">
        <v>806</v>
      </c>
    </row>
    <row r="181" ht="22.5" customHeight="1">
      <c r="A181" s="51"/>
      <c r="B181" s="51" t="s">
        <v>1206</v>
      </c>
      <c r="C181" s="51" t="s">
        <v>1207</v>
      </c>
      <c r="D181" s="18" t="s">
        <v>1205</v>
      </c>
      <c r="E181" s="18" t="s">
        <v>1208</v>
      </c>
      <c r="F181" s="88" t="s">
        <v>140</v>
      </c>
      <c r="G181" s="89"/>
      <c r="H181" s="90"/>
      <c r="I181" s="91"/>
      <c r="J181" s="88"/>
      <c r="K181" s="51" t="s">
        <v>806</v>
      </c>
    </row>
    <row r="182" ht="22.5" customHeight="1">
      <c r="A182" s="51"/>
      <c r="B182" s="51" t="s">
        <v>1209</v>
      </c>
      <c r="C182" s="51" t="s">
        <v>1210</v>
      </c>
      <c r="D182" s="18" t="s">
        <v>1205</v>
      </c>
      <c r="E182" s="18" t="s">
        <v>1208</v>
      </c>
      <c r="F182" s="88" t="s">
        <v>140</v>
      </c>
      <c r="G182" s="89"/>
      <c r="H182" s="90"/>
      <c r="I182" s="91"/>
      <c r="J182" s="88"/>
      <c r="K182" s="51" t="s">
        <v>806</v>
      </c>
    </row>
  </sheetData>
  <dataValidations>
    <dataValidation type="list" allowBlank="1" sqref="F2:F182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82">
      <formula1>OR(NOT(ISERROR(DATEVALUE(G2))), AND(ISNUMBER(G2), LEFT(CELL("format", G2))="D"))</formula1>
    </dataValidation>
    <dataValidation type="custom" allowBlank="1" showDropDown="1" sqref="H2:I182">
      <formula1>AND(ISNUMBER(H2),(NOT(OR(NOT(ISERROR(DATEVALUE(H2))), AND(ISNUMBER(H2), LEFT(CELL("format", H2))="D")))))</formula1>
    </dataValidation>
    <dataValidation type="list" allowBlank="1" sqref="J2:J182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82 E2:E182 K2:K182"/>
  </dataValidations>
  <hyperlinks>
    <hyperlink r:id="rId1" ref="D2"/>
    <hyperlink r:id="rId2" ref="D3"/>
    <hyperlink r:id="rId3" ref="D6"/>
    <hyperlink r:id="rId4" ref="D7"/>
    <hyperlink r:id="rId5" ref="D8"/>
    <hyperlink r:id="rId6" ref="D9"/>
    <hyperlink r:id="rId7" ref="D10"/>
    <hyperlink r:id="rId8" ref="D11"/>
    <hyperlink r:id="rId9" ref="D12"/>
    <hyperlink r:id="rId10" ref="D13"/>
    <hyperlink r:id="rId11" ref="D14"/>
    <hyperlink r:id="rId12" ref="D15"/>
    <hyperlink r:id="rId13" ref="D17"/>
    <hyperlink r:id="rId14" ref="D18"/>
    <hyperlink r:id="rId15" ref="D19"/>
    <hyperlink r:id="rId16" ref="D20"/>
    <hyperlink r:id="rId17" ref="D21"/>
    <hyperlink r:id="rId18" ref="D22"/>
    <hyperlink r:id="rId19" ref="D23"/>
    <hyperlink r:id="rId20" ref="D24"/>
    <hyperlink r:id="rId21" ref="D25"/>
    <hyperlink r:id="rId22" ref="D27"/>
    <hyperlink r:id="rId23" ref="D28"/>
    <hyperlink r:id="rId24" ref="D29"/>
    <hyperlink r:id="rId25" ref="D30"/>
    <hyperlink r:id="rId26" ref="D31"/>
    <hyperlink r:id="rId27" ref="D32"/>
    <hyperlink r:id="rId28" ref="D33"/>
    <hyperlink r:id="rId29" ref="D34"/>
    <hyperlink r:id="rId30" ref="D37"/>
    <hyperlink r:id="rId31" ref="D38"/>
    <hyperlink r:id="rId32" ref="D39"/>
    <hyperlink r:id="rId33" ref="D40"/>
    <hyperlink r:id="rId34" ref="D41"/>
    <hyperlink r:id="rId35" ref="D42"/>
    <hyperlink r:id="rId36" ref="D43"/>
    <hyperlink r:id="rId37" ref="D45"/>
    <hyperlink r:id="rId38" ref="D46"/>
    <hyperlink r:id="rId39" ref="D47"/>
    <hyperlink r:id="rId40" ref="D48"/>
    <hyperlink r:id="rId41" ref="D49"/>
    <hyperlink r:id="rId42" ref="D50"/>
    <hyperlink r:id="rId43" ref="D51"/>
    <hyperlink r:id="rId44" ref="D52"/>
    <hyperlink r:id="rId45" ref="D53"/>
    <hyperlink r:id="rId46" ref="D54"/>
    <hyperlink r:id="rId47" ref="D55"/>
    <hyperlink r:id="rId48" ref="D56"/>
    <hyperlink r:id="rId49" ref="D58"/>
    <hyperlink r:id="rId50" ref="D59"/>
    <hyperlink r:id="rId51" ref="D60"/>
    <hyperlink r:id="rId52" ref="D61"/>
    <hyperlink r:id="rId53" ref="D63"/>
    <hyperlink r:id="rId54" ref="D64"/>
    <hyperlink r:id="rId55" ref="D65"/>
    <hyperlink r:id="rId56" ref="D66"/>
    <hyperlink r:id="rId57" ref="D67"/>
    <hyperlink r:id="rId58" ref="D68"/>
    <hyperlink r:id="rId59" ref="D69"/>
    <hyperlink r:id="rId60" ref="D70"/>
    <hyperlink r:id="rId61" ref="D71"/>
    <hyperlink r:id="rId62" ref="D72"/>
    <hyperlink r:id="rId63" ref="D74"/>
    <hyperlink r:id="rId64" ref="D76"/>
    <hyperlink r:id="rId65" ref="D77"/>
    <hyperlink r:id="rId66" ref="D79"/>
    <hyperlink r:id="rId67" ref="D80"/>
    <hyperlink r:id="rId68" ref="D81"/>
    <hyperlink r:id="rId69" ref="D82"/>
    <hyperlink r:id="rId70" ref="D83"/>
    <hyperlink r:id="rId71" ref="D85"/>
    <hyperlink r:id="rId72" ref="D87"/>
    <hyperlink r:id="rId73" ref="D88"/>
    <hyperlink r:id="rId74" ref="D89"/>
    <hyperlink r:id="rId75" ref="D90"/>
    <hyperlink r:id="rId76" ref="D92"/>
    <hyperlink r:id="rId77" ref="D93"/>
    <hyperlink r:id="rId78" ref="D94"/>
    <hyperlink r:id="rId79" ref="D95"/>
    <hyperlink r:id="rId80" ref="D96"/>
    <hyperlink r:id="rId81" ref="D97"/>
    <hyperlink r:id="rId82" ref="D98"/>
    <hyperlink r:id="rId83" ref="D99"/>
    <hyperlink r:id="rId84" ref="D100"/>
    <hyperlink r:id="rId85" ref="D101"/>
    <hyperlink r:id="rId86" ref="D102"/>
    <hyperlink r:id="rId87" ref="D103"/>
    <hyperlink r:id="rId88" ref="D104"/>
    <hyperlink r:id="rId89" ref="D105"/>
    <hyperlink r:id="rId90" ref="D106"/>
    <hyperlink r:id="rId91" ref="D107"/>
    <hyperlink r:id="rId92" ref="D108"/>
    <hyperlink r:id="rId93" ref="D110"/>
    <hyperlink r:id="rId94" ref="D111"/>
    <hyperlink r:id="rId95" ref="D112"/>
    <hyperlink r:id="rId96" ref="D113"/>
    <hyperlink r:id="rId97" ref="D114"/>
    <hyperlink r:id="rId98" ref="D115"/>
    <hyperlink r:id="rId99" ref="D116"/>
    <hyperlink r:id="rId100" ref="D117"/>
    <hyperlink r:id="rId101" ref="D119"/>
    <hyperlink r:id="rId102" ref="D120"/>
    <hyperlink r:id="rId103" ref="D121"/>
    <hyperlink r:id="rId104" ref="D122"/>
    <hyperlink r:id="rId105" ref="D123"/>
    <hyperlink r:id="rId106" ref="D124"/>
    <hyperlink r:id="rId107" ref="D125"/>
    <hyperlink r:id="rId108" ref="D126"/>
    <hyperlink r:id="rId109" ref="D127"/>
    <hyperlink r:id="rId110" ref="D128"/>
    <hyperlink r:id="rId111" ref="D131"/>
    <hyperlink r:id="rId112" ref="D132"/>
    <hyperlink r:id="rId113" ref="D133"/>
    <hyperlink r:id="rId114" ref="D134"/>
    <hyperlink r:id="rId115" ref="D135"/>
    <hyperlink r:id="rId116" ref="D136"/>
    <hyperlink r:id="rId117" ref="D137"/>
    <hyperlink r:id="rId118" ref="D138"/>
    <hyperlink r:id="rId119" ref="D139"/>
    <hyperlink r:id="rId120" ref="D141"/>
    <hyperlink r:id="rId121" ref="D144"/>
    <hyperlink r:id="rId122" ref="D145"/>
    <hyperlink r:id="rId123" ref="D146"/>
    <hyperlink r:id="rId124" ref="D147"/>
    <hyperlink r:id="rId125" ref="D148"/>
    <hyperlink r:id="rId126" ref="D149"/>
    <hyperlink r:id="rId127" ref="D150"/>
    <hyperlink r:id="rId128" ref="D151"/>
    <hyperlink r:id="rId129" ref="D152"/>
    <hyperlink r:id="rId130" ref="D153"/>
    <hyperlink r:id="rId131" ref="D154"/>
    <hyperlink r:id="rId132" ref="D155"/>
    <hyperlink r:id="rId133" ref="D156"/>
    <hyperlink r:id="rId134" ref="D157"/>
    <hyperlink r:id="rId135" ref="D159"/>
    <hyperlink r:id="rId136" ref="D160"/>
    <hyperlink r:id="rId137" ref="D161"/>
    <hyperlink r:id="rId138" ref="D163"/>
    <hyperlink r:id="rId139" ref="D166"/>
    <hyperlink r:id="rId140" ref="D168"/>
    <hyperlink r:id="rId141" ref="D170"/>
    <hyperlink r:id="rId142" ref="D171"/>
    <hyperlink r:id="rId143" ref="D172"/>
    <hyperlink r:id="rId144" ref="D173"/>
    <hyperlink r:id="rId145" ref="D174"/>
    <hyperlink r:id="rId146" ref="D175"/>
    <hyperlink r:id="rId147" ref="D176"/>
    <hyperlink r:id="rId148" ref="D17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49"/>
  <tableParts count="1">
    <tablePart r:id="rId15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5.38"/>
    <col customWidth="1" min="3" max="3" width="20.63"/>
    <col customWidth="1" min="4" max="4" width="18.88"/>
    <col customWidth="1" min="5" max="5" width="30.88"/>
    <col customWidth="1" min="6" max="6" width="37.75"/>
    <col customWidth="1" min="7" max="7" width="27.38"/>
    <col customWidth="1" min="8" max="8" width="24.75"/>
    <col customWidth="1" min="9" max="9" width="25.13"/>
    <col customWidth="1" min="10" max="10" width="28.63"/>
    <col customWidth="1" min="11" max="11" width="23.25"/>
  </cols>
  <sheetData>
    <row r="1" ht="22.5" customHeight="1">
      <c r="A1" s="14" t="s">
        <v>23</v>
      </c>
      <c r="B1" s="14" t="s">
        <v>24</v>
      </c>
      <c r="C1" s="14" t="s">
        <v>25</v>
      </c>
      <c r="D1" s="14" t="s">
        <v>26</v>
      </c>
      <c r="E1" s="14" t="s">
        <v>27</v>
      </c>
      <c r="F1" s="14" t="s">
        <v>28</v>
      </c>
      <c r="G1" s="14" t="s">
        <v>29</v>
      </c>
      <c r="H1" s="14" t="s">
        <v>30</v>
      </c>
      <c r="I1" s="14" t="s">
        <v>31</v>
      </c>
      <c r="J1" s="14" t="s">
        <v>32</v>
      </c>
      <c r="K1" s="14" t="s">
        <v>33</v>
      </c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ht="22.5" customHeight="1">
      <c r="A2" s="16" t="s">
        <v>456</v>
      </c>
      <c r="B2" s="16" t="s">
        <v>1211</v>
      </c>
      <c r="C2" s="16" t="s">
        <v>1212</v>
      </c>
      <c r="D2" s="104"/>
      <c r="E2" s="104" t="s">
        <v>459</v>
      </c>
      <c r="F2" s="99" t="s">
        <v>671</v>
      </c>
      <c r="G2" s="100">
        <v>46083.0</v>
      </c>
      <c r="H2" s="101"/>
      <c r="I2" s="102"/>
      <c r="J2" s="99" t="s">
        <v>676</v>
      </c>
      <c r="K2" s="16" t="s">
        <v>1213</v>
      </c>
    </row>
    <row r="3" ht="22.5" customHeight="1">
      <c r="A3" s="16" t="s">
        <v>462</v>
      </c>
      <c r="B3" s="51" t="s">
        <v>1214</v>
      </c>
      <c r="C3" s="51" t="s">
        <v>1215</v>
      </c>
      <c r="D3" s="18"/>
      <c r="E3" s="18" t="s">
        <v>459</v>
      </c>
      <c r="F3" s="88" t="s">
        <v>491</v>
      </c>
      <c r="G3" s="89">
        <v>46079.0</v>
      </c>
      <c r="H3" s="96"/>
      <c r="I3" s="91"/>
      <c r="J3" s="88" t="s">
        <v>676</v>
      </c>
      <c r="K3" s="16" t="s">
        <v>1213</v>
      </c>
    </row>
    <row r="4" ht="22.5" customHeight="1">
      <c r="A4" s="16" t="s">
        <v>465</v>
      </c>
      <c r="B4" s="86" t="s">
        <v>1216</v>
      </c>
      <c r="C4" s="51" t="s">
        <v>1217</v>
      </c>
      <c r="D4" s="18"/>
      <c r="E4" s="18" t="s">
        <v>1218</v>
      </c>
      <c r="F4" s="88" t="s">
        <v>460</v>
      </c>
      <c r="G4" s="89">
        <v>46085.0</v>
      </c>
      <c r="H4" s="96"/>
      <c r="I4" s="91"/>
      <c r="J4" s="88" t="s">
        <v>676</v>
      </c>
      <c r="K4" s="16" t="s">
        <v>1213</v>
      </c>
    </row>
    <row r="5" ht="22.5" customHeight="1">
      <c r="A5" s="16" t="s">
        <v>468</v>
      </c>
      <c r="B5" s="86" t="s">
        <v>1219</v>
      </c>
      <c r="C5" s="51" t="s">
        <v>1220</v>
      </c>
      <c r="D5" s="18"/>
      <c r="E5" s="18" t="s">
        <v>459</v>
      </c>
      <c r="F5" s="88" t="s">
        <v>491</v>
      </c>
      <c r="G5" s="89">
        <v>46085.0</v>
      </c>
      <c r="H5" s="96"/>
      <c r="I5" s="91"/>
      <c r="J5" s="88" t="s">
        <v>747</v>
      </c>
      <c r="K5" s="16" t="s">
        <v>1213</v>
      </c>
    </row>
    <row r="6" ht="22.5" customHeight="1">
      <c r="A6" s="16" t="s">
        <v>727</v>
      </c>
      <c r="B6" s="86" t="s">
        <v>1221</v>
      </c>
      <c r="C6" s="51" t="s">
        <v>1222</v>
      </c>
      <c r="D6" s="18"/>
      <c r="E6" s="18" t="s">
        <v>459</v>
      </c>
      <c r="F6" s="88" t="s">
        <v>63</v>
      </c>
      <c r="G6" s="89">
        <v>46108.0</v>
      </c>
      <c r="H6" s="96"/>
      <c r="I6" s="91"/>
      <c r="J6" s="88" t="s">
        <v>747</v>
      </c>
      <c r="K6" s="16" t="s">
        <v>1213</v>
      </c>
    </row>
    <row r="7" ht="22.5" customHeight="1">
      <c r="A7" s="16" t="s">
        <v>470</v>
      </c>
      <c r="B7" s="86" t="s">
        <v>1223</v>
      </c>
      <c r="C7" s="51" t="s">
        <v>1224</v>
      </c>
      <c r="D7" s="18"/>
      <c r="E7" s="18" t="s">
        <v>459</v>
      </c>
      <c r="F7" s="88" t="s">
        <v>460</v>
      </c>
      <c r="G7" s="89">
        <v>46085.0</v>
      </c>
      <c r="H7" s="96"/>
      <c r="I7" s="91"/>
      <c r="J7" s="88" t="s">
        <v>676</v>
      </c>
      <c r="K7" s="16" t="s">
        <v>1213</v>
      </c>
    </row>
    <row r="8" ht="22.5" customHeight="1">
      <c r="A8" s="16" t="s">
        <v>473</v>
      </c>
      <c r="B8" s="86" t="s">
        <v>1225</v>
      </c>
      <c r="C8" s="51" t="s">
        <v>1226</v>
      </c>
      <c r="D8" s="18"/>
      <c r="E8" s="18" t="s">
        <v>459</v>
      </c>
      <c r="F8" s="88" t="s">
        <v>460</v>
      </c>
      <c r="G8" s="89">
        <v>46090.0</v>
      </c>
      <c r="H8" s="96"/>
      <c r="I8" s="91"/>
      <c r="J8" s="88" t="s">
        <v>48</v>
      </c>
      <c r="K8" s="16" t="s">
        <v>1213</v>
      </c>
    </row>
    <row r="9" ht="22.5" customHeight="1">
      <c r="A9" s="16" t="s">
        <v>476</v>
      </c>
      <c r="B9" s="86" t="s">
        <v>1227</v>
      </c>
      <c r="C9" s="51" t="s">
        <v>1228</v>
      </c>
      <c r="D9" s="18"/>
      <c r="E9" s="18" t="s">
        <v>1229</v>
      </c>
      <c r="F9" s="88" t="s">
        <v>460</v>
      </c>
      <c r="G9" s="89">
        <v>46085.0</v>
      </c>
      <c r="H9" s="96"/>
      <c r="I9" s="91"/>
      <c r="J9" s="88" t="s">
        <v>719</v>
      </c>
      <c r="K9" s="16" t="s">
        <v>1213</v>
      </c>
    </row>
    <row r="10" ht="22.5" customHeight="1">
      <c r="A10" s="16" t="s">
        <v>479</v>
      </c>
      <c r="B10" s="86" t="s">
        <v>1230</v>
      </c>
      <c r="C10" s="51" t="s">
        <v>1231</v>
      </c>
      <c r="D10" s="18"/>
      <c r="E10" s="18" t="s">
        <v>459</v>
      </c>
      <c r="F10" s="88" t="s">
        <v>37</v>
      </c>
      <c r="G10" s="89">
        <v>46085.0</v>
      </c>
      <c r="H10" s="96"/>
      <c r="I10" s="91"/>
      <c r="J10" s="88" t="s">
        <v>719</v>
      </c>
      <c r="K10" s="16" t="s">
        <v>1213</v>
      </c>
    </row>
    <row r="11" ht="22.5" customHeight="1">
      <c r="A11" s="16" t="s">
        <v>482</v>
      </c>
      <c r="B11" s="86" t="s">
        <v>1232</v>
      </c>
      <c r="C11" s="51" t="s">
        <v>1233</v>
      </c>
      <c r="D11" s="18"/>
      <c r="E11" s="18" t="s">
        <v>1229</v>
      </c>
      <c r="F11" s="88" t="s">
        <v>691</v>
      </c>
      <c r="G11" s="89">
        <v>46090.0</v>
      </c>
      <c r="H11" s="96"/>
      <c r="I11" s="91"/>
      <c r="J11" s="88" t="s">
        <v>719</v>
      </c>
      <c r="K11" s="16" t="s">
        <v>1213</v>
      </c>
    </row>
    <row r="12" ht="22.5" customHeight="1">
      <c r="A12" s="16" t="s">
        <v>485</v>
      </c>
      <c r="B12" s="86" t="s">
        <v>1234</v>
      </c>
      <c r="C12" s="51" t="s">
        <v>1235</v>
      </c>
      <c r="D12" s="18"/>
      <c r="E12" s="18" t="s">
        <v>459</v>
      </c>
      <c r="F12" s="88" t="s">
        <v>1050</v>
      </c>
      <c r="G12" s="89"/>
      <c r="H12" s="96"/>
      <c r="I12" s="91"/>
      <c r="J12" s="88" t="s">
        <v>719</v>
      </c>
      <c r="K12" s="16" t="s">
        <v>1213</v>
      </c>
    </row>
    <row r="13" ht="22.5" customHeight="1">
      <c r="A13" s="16" t="s">
        <v>488</v>
      </c>
      <c r="B13" s="86" t="s">
        <v>1236</v>
      </c>
      <c r="C13" s="51" t="s">
        <v>1237</v>
      </c>
      <c r="D13" s="18"/>
      <c r="E13" s="18" t="s">
        <v>459</v>
      </c>
      <c r="F13" s="88" t="s">
        <v>47</v>
      </c>
      <c r="G13" s="89"/>
      <c r="H13" s="96"/>
      <c r="I13" s="91"/>
      <c r="J13" s="88" t="s">
        <v>719</v>
      </c>
      <c r="K13" s="16" t="s">
        <v>1213</v>
      </c>
    </row>
    <row r="14" ht="22.5" customHeight="1">
      <c r="A14" s="16" t="s">
        <v>492</v>
      </c>
      <c r="B14" s="86" t="s">
        <v>1236</v>
      </c>
      <c r="C14" s="86" t="s">
        <v>1238</v>
      </c>
      <c r="D14" s="18"/>
      <c r="E14" s="18" t="s">
        <v>459</v>
      </c>
      <c r="F14" s="88" t="s">
        <v>47</v>
      </c>
      <c r="G14" s="89"/>
      <c r="H14" s="90"/>
      <c r="I14" s="91"/>
      <c r="J14" s="93"/>
      <c r="K14" s="94"/>
    </row>
    <row r="15" ht="22.5" customHeight="1">
      <c r="A15" s="16" t="s">
        <v>495</v>
      </c>
      <c r="B15" s="86"/>
      <c r="C15" s="86"/>
      <c r="D15" s="18"/>
      <c r="E15" s="18"/>
      <c r="F15" s="93"/>
      <c r="G15" s="89"/>
      <c r="H15" s="90"/>
      <c r="I15" s="91"/>
      <c r="J15" s="93"/>
      <c r="K15" s="86"/>
    </row>
  </sheetData>
  <dataValidations>
    <dataValidation type="list" allowBlank="1" sqref="F2:F15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5">
      <formula1>OR(NOT(ISERROR(DATEVALUE(G2))), AND(ISNUMBER(G2), LEFT(CELL("format", G2))="D"))</formula1>
    </dataValidation>
    <dataValidation type="custom" allowBlank="1" showDropDown="1" sqref="H2:I15">
      <formula1>AND(ISNUMBER(H2),(NOT(OR(NOT(ISERROR(DATEVALUE(H2))), AND(ISNUMBER(H2), LEFT(CELL("format", H2))="D")))))</formula1>
    </dataValidation>
    <dataValidation type="list" allowBlank="1" sqref="J2:J15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5 E2:E15 K2:K15"/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4.88"/>
    <col customWidth="1" min="6" max="6" width="28.13"/>
  </cols>
  <sheetData>
    <row r="1" ht="22.5" customHeight="1">
      <c r="A1" s="105" t="s">
        <v>1239</v>
      </c>
      <c r="B1" s="105" t="s">
        <v>1240</v>
      </c>
      <c r="C1" s="105" t="s">
        <v>1241</v>
      </c>
      <c r="D1" s="105" t="s">
        <v>1242</v>
      </c>
      <c r="E1" s="105" t="s">
        <v>1243</v>
      </c>
      <c r="F1" s="105" t="s">
        <v>1244</v>
      </c>
      <c r="G1" s="105" t="s">
        <v>1245</v>
      </c>
      <c r="H1" s="105" t="s">
        <v>1246</v>
      </c>
      <c r="I1" s="105" t="s">
        <v>1247</v>
      </c>
      <c r="J1" s="105" t="s">
        <v>1248</v>
      </c>
      <c r="K1" s="105" t="s">
        <v>1249</v>
      </c>
      <c r="L1" s="15"/>
      <c r="M1" s="106" t="s">
        <v>1250</v>
      </c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ht="22.5" customHeight="1">
      <c r="A2" s="107" t="str">
        <f>'Rebeca Ortiz'!A2</f>
        <v>PSP1</v>
      </c>
      <c r="B2" s="12" t="str">
        <f>'Rebeca Ortiz'!B2</f>
        <v>Karina Lizbeth López Campos</v>
      </c>
      <c r="C2" s="12" t="str">
        <f>'Rebeca Ortiz'!C2</f>
        <v>Clairos</v>
      </c>
      <c r="D2" s="12" t="str">
        <f>'Rebeca Ortiz'!D2</f>
        <v/>
      </c>
      <c r="E2" s="12" t="str">
        <f>'Rebeca Ortiz'!E2</f>
        <v>SFV</v>
      </c>
      <c r="F2" s="108" t="str">
        <f>'Rebeca Ortiz'!F2</f>
        <v>2. Contacto Inicial</v>
      </c>
      <c r="G2" s="48">
        <f>'Rebeca Ortiz'!G2</f>
        <v>45993</v>
      </c>
      <c r="H2" s="49">
        <f>'Rebeca Ortiz'!H2</f>
        <v>100000</v>
      </c>
      <c r="I2" s="21" t="str">
        <f>'Rebeca Ortiz'!I2</f>
        <v/>
      </c>
      <c r="J2" s="108" t="str">
        <f>'Rebeca Ortiz'!J2</f>
        <v>LinkedIn (Orgánico)</v>
      </c>
      <c r="K2" s="12" t="str">
        <f>'Rebeca Ortiz'!K2</f>
        <v>Rebeca Ortiz</v>
      </c>
      <c r="M2" s="15">
        <f>COUNTIF(K:K,"Rebeca Ortiz")</f>
        <v>60</v>
      </c>
      <c r="N2" s="109" t="s">
        <v>461</v>
      </c>
    </row>
    <row r="3" ht="22.5" customHeight="1">
      <c r="A3" s="107" t="str">
        <f>'Rebeca Ortiz'!A3</f>
        <v>PSP2</v>
      </c>
      <c r="B3" s="12" t="str">
        <f>'Rebeca Ortiz'!B3</f>
        <v>Leobardo Mora Cuevas</v>
      </c>
      <c r="C3" s="12" t="str">
        <f>'Rebeca Ortiz'!C3</f>
        <v>CMP Automotive</v>
      </c>
      <c r="D3" s="12" t="str">
        <f>'Rebeca Ortiz'!D3</f>
        <v/>
      </c>
      <c r="E3" s="12" t="str">
        <f>'Rebeca Ortiz'!E3</f>
        <v>SFV</v>
      </c>
      <c r="F3" s="108" t="str">
        <f>'Rebeca Ortiz'!F3</f>
        <v>1. Prospección</v>
      </c>
      <c r="G3" s="48">
        <f>'Rebeca Ortiz'!G3</f>
        <v>45996</v>
      </c>
      <c r="H3" s="49">
        <f>'Rebeca Ortiz'!H3</f>
        <v>80000</v>
      </c>
      <c r="I3" s="21" t="str">
        <f>'Rebeca Ortiz'!I3</f>
        <v/>
      </c>
      <c r="J3" s="108" t="str">
        <f>'Rebeca Ortiz'!J3</f>
        <v>LinkedIn (Orgánico)</v>
      </c>
      <c r="K3" s="12" t="str">
        <f>'Rebeca Ortiz'!K3</f>
        <v>Rebeca Ortiz</v>
      </c>
      <c r="M3" s="15">
        <f>COUNTIF(K:K,"Marco Flores")</f>
        <v>23</v>
      </c>
      <c r="N3" s="109" t="s">
        <v>668</v>
      </c>
    </row>
    <row r="4" ht="22.5" customHeight="1">
      <c r="A4" s="107" t="str">
        <f>'Rebeca Ortiz'!A4</f>
        <v>PSP3</v>
      </c>
      <c r="B4" s="12" t="str">
        <f>'Rebeca Ortiz'!B4</f>
        <v>Juan Pablo Marin Quintana</v>
      </c>
      <c r="C4" s="12" t="str">
        <f>'Rebeca Ortiz'!C4</f>
        <v>Danfoss Power Solutions</v>
      </c>
      <c r="D4" s="12" t="str">
        <f>'Rebeca Ortiz'!D4</f>
        <v/>
      </c>
      <c r="E4" s="12" t="str">
        <f>'Rebeca Ortiz'!E4</f>
        <v>SFV</v>
      </c>
      <c r="F4" s="108" t="str">
        <f>'Rebeca Ortiz'!F4</f>
        <v>2. Contacto Inicial</v>
      </c>
      <c r="G4" s="48">
        <f>'Rebeca Ortiz'!G4</f>
        <v>46002</v>
      </c>
      <c r="H4" s="49">
        <f>'Rebeca Ortiz'!H4</f>
        <v>200000</v>
      </c>
      <c r="I4" s="21" t="str">
        <f>'Rebeca Ortiz'!I4</f>
        <v/>
      </c>
      <c r="J4" s="108" t="str">
        <f>'Rebeca Ortiz'!J4</f>
        <v>LinkedIn (Orgánico)</v>
      </c>
      <c r="K4" s="12" t="str">
        <f>'Rebeca Ortiz'!K4</f>
        <v>Rebeca Ortiz</v>
      </c>
      <c r="M4" s="15">
        <f>COUNTIF(K:K,"Alexandro Carrasco")</f>
        <v>174</v>
      </c>
      <c r="N4" s="109" t="s">
        <v>806</v>
      </c>
    </row>
    <row r="5" ht="22.5" customHeight="1">
      <c r="A5" s="107" t="str">
        <f>'Rebeca Ortiz'!A5</f>
        <v>PSP4</v>
      </c>
      <c r="B5" s="12" t="str">
        <f>'Rebeca Ortiz'!B5</f>
        <v>Karina Guajardo Zárate</v>
      </c>
      <c r="C5" s="12" t="str">
        <f>'Rebeca Ortiz'!C5</f>
        <v>Solventum</v>
      </c>
      <c r="D5" s="12" t="str">
        <f>'Rebeca Ortiz'!D5</f>
        <v/>
      </c>
      <c r="E5" s="12" t="str">
        <f>'Rebeca Ortiz'!E5</f>
        <v>SFV</v>
      </c>
      <c r="F5" s="108" t="str">
        <f>'Rebeca Ortiz'!F5</f>
        <v>1. Prospección</v>
      </c>
      <c r="G5" s="48">
        <f>'Rebeca Ortiz'!G5</f>
        <v>45908</v>
      </c>
      <c r="H5" s="49">
        <f>'Rebeca Ortiz'!H5</f>
        <v>80000</v>
      </c>
      <c r="I5" s="21" t="str">
        <f>'Rebeca Ortiz'!I5</f>
        <v/>
      </c>
      <c r="J5" s="108" t="str">
        <f>'Rebeca Ortiz'!J5</f>
        <v>LinkedIn (Orgánico)</v>
      </c>
      <c r="K5" s="12" t="str">
        <f>'Rebeca Ortiz'!K5</f>
        <v>Rebeca Ortiz</v>
      </c>
      <c r="M5" s="15">
        <f>COUNTIF(K:K,"Daniela Lara")</f>
        <v>12</v>
      </c>
      <c r="N5" s="109" t="s">
        <v>720</v>
      </c>
    </row>
    <row r="6" ht="22.5" customHeight="1">
      <c r="A6" s="107" t="str">
        <f>'Rebeca Ortiz'!A6</f>
        <v>PSP6</v>
      </c>
      <c r="B6" s="12" t="str">
        <f>'Rebeca Ortiz'!B6</f>
        <v>Ramon Magaña Blancas
</v>
      </c>
      <c r="C6" s="12" t="str">
        <f>'Rebeca Ortiz'!C6</f>
        <v>Grupo Gonher</v>
      </c>
      <c r="D6" s="12" t="str">
        <f>'Rebeca Ortiz'!D6</f>
        <v/>
      </c>
      <c r="E6" s="12" t="str">
        <f>'Rebeca Ortiz'!E6</f>
        <v>SFV</v>
      </c>
      <c r="F6" s="108" t="str">
        <f>'Rebeca Ortiz'!F6</f>
        <v>1. Prospección</v>
      </c>
      <c r="G6" s="48">
        <f>'Rebeca Ortiz'!G6</f>
        <v>46038</v>
      </c>
      <c r="H6" s="49">
        <f>'Rebeca Ortiz'!H6</f>
        <v>80000</v>
      </c>
      <c r="I6" s="21" t="str">
        <f>'Rebeca Ortiz'!I6</f>
        <v/>
      </c>
      <c r="J6" s="108" t="str">
        <f>'Rebeca Ortiz'!J6</f>
        <v>LinkedIn (Orgánico)</v>
      </c>
      <c r="K6" s="12" t="str">
        <f>'Rebeca Ortiz'!K6</f>
        <v>Rebeca Ortiz</v>
      </c>
      <c r="M6" s="15">
        <f>COUNTIF(K:K,"Saira Gómez")</f>
        <v>9</v>
      </c>
      <c r="N6" s="109" t="s">
        <v>1213</v>
      </c>
    </row>
    <row r="7" ht="22.5" customHeight="1">
      <c r="A7" s="107" t="str">
        <f>'Rebeca Ortiz'!A7</f>
        <v>PSP7</v>
      </c>
      <c r="B7" s="12" t="str">
        <f>'Rebeca Ortiz'!B7</f>
        <v>Ricardo Gutierrez</v>
      </c>
      <c r="C7" s="12" t="str">
        <f>'Rebeca Ortiz'!C7</f>
        <v>HFI</v>
      </c>
      <c r="D7" s="12" t="str">
        <f>'Rebeca Ortiz'!D7</f>
        <v/>
      </c>
      <c r="E7" s="12" t="str">
        <f>'Rebeca Ortiz'!E7</f>
        <v>SFV</v>
      </c>
      <c r="F7" s="108" t="str">
        <f>'Rebeca Ortiz'!F7</f>
        <v>2. Contacto Inicial</v>
      </c>
      <c r="G7" s="48">
        <f>'Rebeca Ortiz'!G7</f>
        <v>45921</v>
      </c>
      <c r="H7" s="49">
        <f>'Rebeca Ortiz'!H7</f>
        <v>80000</v>
      </c>
      <c r="I7" s="21" t="str">
        <f>'Rebeca Ortiz'!I7</f>
        <v/>
      </c>
      <c r="J7" s="108" t="str">
        <f>'Rebeca Ortiz'!J7</f>
        <v>LinkedIn (Orgánico)</v>
      </c>
      <c r="K7" s="12" t="str">
        <f>'Rebeca Ortiz'!K7</f>
        <v>Rebeca Ortiz</v>
      </c>
    </row>
    <row r="8" ht="22.5" customHeight="1">
      <c r="A8" s="107" t="str">
        <f>'Rebeca Ortiz'!A8</f>
        <v>PSP8</v>
      </c>
      <c r="B8" s="12" t="str">
        <f>'Rebeca Ortiz'!B8</f>
        <v>Jose Saul Vega Vazquez</v>
      </c>
      <c r="C8" s="12" t="str">
        <f>'Rebeca Ortiz'!C8</f>
        <v>Zoppas Industries</v>
      </c>
      <c r="D8" s="12" t="str">
        <f>'Rebeca Ortiz'!D8</f>
        <v/>
      </c>
      <c r="E8" s="12" t="str">
        <f>'Rebeca Ortiz'!E8</f>
        <v>SFV</v>
      </c>
      <c r="F8" s="108" t="str">
        <f>'Rebeca Ortiz'!F8</f>
        <v>1. Prospección</v>
      </c>
      <c r="G8" s="48">
        <f>'Rebeca Ortiz'!G8</f>
        <v>45925</v>
      </c>
      <c r="H8" s="49">
        <f>'Rebeca Ortiz'!H8</f>
        <v>100000</v>
      </c>
      <c r="I8" s="21" t="str">
        <f>'Rebeca Ortiz'!I8</f>
        <v/>
      </c>
      <c r="J8" s="108" t="str">
        <f>'Rebeca Ortiz'!J8</f>
        <v>LinkedIn (Orgánico)</v>
      </c>
      <c r="K8" s="12" t="str">
        <f>'Rebeca Ortiz'!K8</f>
        <v>Rebeca Ortiz</v>
      </c>
    </row>
    <row r="9" ht="22.5" customHeight="1">
      <c r="A9" s="107" t="str">
        <f>'Rebeca Ortiz'!A9</f>
        <v>PSP9</v>
      </c>
      <c r="B9" s="12" t="str">
        <f>'Rebeca Ortiz'!B9</f>
        <v>Emmanuel Ledesma</v>
      </c>
      <c r="C9" s="12" t="str">
        <f>'Rebeca Ortiz'!C9</f>
        <v>Joyson Safety Systems</v>
      </c>
      <c r="D9" s="12" t="str">
        <f>'Rebeca Ortiz'!D9</f>
        <v/>
      </c>
      <c r="E9" s="12" t="str">
        <f>'Rebeca Ortiz'!E9</f>
        <v>SFV</v>
      </c>
      <c r="F9" s="108" t="str">
        <f>'Rebeca Ortiz'!F9</f>
        <v>2. Contacto Inicial</v>
      </c>
      <c r="G9" s="48">
        <f>'Rebeca Ortiz'!G9</f>
        <v>45942</v>
      </c>
      <c r="H9" s="49">
        <f>'Rebeca Ortiz'!H9</f>
        <v>100000</v>
      </c>
      <c r="I9" s="21" t="str">
        <f>'Rebeca Ortiz'!I9</f>
        <v/>
      </c>
      <c r="J9" s="108" t="str">
        <f>'Rebeca Ortiz'!J9</f>
        <v>LinkedIn (Orgánico)</v>
      </c>
      <c r="K9" s="12" t="str">
        <f>'Rebeca Ortiz'!K9</f>
        <v>Rebeca Ortiz</v>
      </c>
    </row>
    <row r="10" ht="22.5" customHeight="1">
      <c r="A10" s="107" t="str">
        <f>'Rebeca Ortiz'!A10</f>
        <v>PSP10</v>
      </c>
      <c r="B10" s="12" t="str">
        <f>'Rebeca Ortiz'!B10</f>
        <v>Miguel Saucedo Arandillas</v>
      </c>
      <c r="C10" s="12" t="str">
        <f>'Rebeca Ortiz'!C10</f>
        <v>PEASA</v>
      </c>
      <c r="D10" s="12" t="str">
        <f>'Rebeca Ortiz'!D10</f>
        <v/>
      </c>
      <c r="E10" s="12" t="str">
        <f>'Rebeca Ortiz'!E10</f>
        <v>SFV</v>
      </c>
      <c r="F10" s="108" t="str">
        <f>'Rebeca Ortiz'!F10</f>
        <v>2. Contacto Inicial</v>
      </c>
      <c r="G10" s="48">
        <f>'Rebeca Ortiz'!G10</f>
        <v>45951</v>
      </c>
      <c r="H10" s="49">
        <f>'Rebeca Ortiz'!H10</f>
        <v>80000</v>
      </c>
      <c r="I10" s="21" t="str">
        <f>'Rebeca Ortiz'!I10</f>
        <v/>
      </c>
      <c r="J10" s="108" t="str">
        <f>'Rebeca Ortiz'!J10</f>
        <v>LinkedIn (Orgánico)</v>
      </c>
      <c r="K10" s="12" t="str">
        <f>'Rebeca Ortiz'!K10</f>
        <v>Rebeca Ortiz</v>
      </c>
    </row>
    <row r="11" ht="22.5" customHeight="1">
      <c r="A11" s="107" t="str">
        <f>'Rebeca Ortiz'!A11</f>
        <v>PSP11</v>
      </c>
      <c r="B11" s="12" t="str">
        <f>'Rebeca Ortiz'!B11</f>
        <v>Jose Armando Zepahua Flores
</v>
      </c>
      <c r="C11" s="12" t="str">
        <f>'Rebeca Ortiz'!C11</f>
        <v>Printpack</v>
      </c>
      <c r="D11" s="12" t="str">
        <f>'Rebeca Ortiz'!D11</f>
        <v/>
      </c>
      <c r="E11" s="12" t="str">
        <f>'Rebeca Ortiz'!E11</f>
        <v>SFV</v>
      </c>
      <c r="F11" s="108" t="str">
        <f>'Rebeca Ortiz'!F11</f>
        <v>1. Prospección</v>
      </c>
      <c r="G11" s="48">
        <f>'Rebeca Ortiz'!G11</f>
        <v>45961</v>
      </c>
      <c r="H11" s="49">
        <f>'Rebeca Ortiz'!H11</f>
        <v>80000</v>
      </c>
      <c r="I11" s="21" t="str">
        <f>'Rebeca Ortiz'!I11</f>
        <v/>
      </c>
      <c r="J11" s="108" t="str">
        <f>'Rebeca Ortiz'!J11</f>
        <v>LinkedIn (Orgánico)</v>
      </c>
      <c r="K11" s="12" t="str">
        <f>'Rebeca Ortiz'!K11</f>
        <v>Rebeca Ortiz</v>
      </c>
    </row>
    <row r="12" ht="22.5" customHeight="1">
      <c r="A12" s="107" t="str">
        <f>'Rebeca Ortiz'!A12</f>
        <v>PSP12</v>
      </c>
      <c r="B12" s="12" t="str">
        <f>'Rebeca Ortiz'!B12</f>
        <v>Hector Vazquez Manjarrez</v>
      </c>
      <c r="C12" s="12" t="str">
        <f>'Rebeca Ortiz'!C12</f>
        <v>Vitrocanceles</v>
      </c>
      <c r="D12" s="12" t="str">
        <f>'Rebeca Ortiz'!D12</f>
        <v/>
      </c>
      <c r="E12" s="12" t="str">
        <f>'Rebeca Ortiz'!E12</f>
        <v>SFV</v>
      </c>
      <c r="F12" s="108" t="str">
        <f>'Rebeca Ortiz'!F12</f>
        <v>7. Estimación / Cotización</v>
      </c>
      <c r="G12" s="48">
        <f>'Rebeca Ortiz'!G12</f>
        <v>45847</v>
      </c>
      <c r="H12" s="49">
        <f>'Rebeca Ortiz'!H12</f>
        <v>250095.01</v>
      </c>
      <c r="I12" s="21" t="str">
        <f>'Rebeca Ortiz'!I12</f>
        <v/>
      </c>
      <c r="J12" s="108" t="str">
        <f>'Rebeca Ortiz'!J12</f>
        <v>LinkedIn (Orgánico)</v>
      </c>
      <c r="K12" s="12" t="str">
        <f>'Rebeca Ortiz'!K12</f>
        <v>Rebeca Ortiz</v>
      </c>
    </row>
    <row r="13" ht="22.5" customHeight="1">
      <c r="A13" s="107" t="str">
        <f>'Rebeca Ortiz'!A13</f>
        <v>PSP13</v>
      </c>
      <c r="B13" s="12" t="str">
        <f>'Rebeca Ortiz'!B13</f>
        <v>Martin Lopez Gutierrez</v>
      </c>
      <c r="C13" s="12" t="str">
        <f>'Rebeca Ortiz'!C13</f>
        <v>Residencial</v>
      </c>
      <c r="D13" s="12" t="str">
        <f>'Rebeca Ortiz'!D13</f>
        <v/>
      </c>
      <c r="E13" s="12" t="str">
        <f>'Rebeca Ortiz'!E13</f>
        <v>SFV</v>
      </c>
      <c r="F13" s="108" t="str">
        <f>'Rebeca Ortiz'!F13</f>
        <v>8. Propuesta Enviada</v>
      </c>
      <c r="G13" s="48">
        <f>'Rebeca Ortiz'!G13</f>
        <v>45676</v>
      </c>
      <c r="H13" s="49">
        <f>'Rebeca Ortiz'!H13</f>
        <v>2371.32</v>
      </c>
      <c r="I13" s="21" t="str">
        <f>'Rebeca Ortiz'!I13</f>
        <v/>
      </c>
      <c r="J13" s="108" t="str">
        <f>'Rebeca Ortiz'!J13</f>
        <v>Referido (Cliente)</v>
      </c>
      <c r="K13" s="12" t="str">
        <f>'Rebeca Ortiz'!K13</f>
        <v>Rebeca Ortiz</v>
      </c>
    </row>
    <row r="14" ht="22.5" customHeight="1">
      <c r="A14" s="107" t="str">
        <f>'Rebeca Ortiz'!A14</f>
        <v>PSP14</v>
      </c>
      <c r="B14" s="12" t="str">
        <f>'Rebeca Ortiz'!B14</f>
        <v>Jesus Alejandro </v>
      </c>
      <c r="C14" s="12" t="str">
        <f>'Rebeca Ortiz'!C14</f>
        <v>Mueller Montana</v>
      </c>
      <c r="D14" s="12" t="str">
        <f>'Rebeca Ortiz'!D14</f>
        <v/>
      </c>
      <c r="E14" s="12" t="str">
        <f>'Rebeca Ortiz'!E14</f>
        <v>SFV</v>
      </c>
      <c r="F14" s="108" t="str">
        <f>'Rebeca Ortiz'!F14</f>
        <v>8. Propuesta Enviada</v>
      </c>
      <c r="G14" s="48">
        <f>'Rebeca Ortiz'!G14</f>
        <v>45672</v>
      </c>
      <c r="H14" s="49">
        <f>'Rebeca Ortiz'!H14</f>
        <v>215363.9</v>
      </c>
      <c r="I14" s="21" t="str">
        <f>'Rebeca Ortiz'!I14</f>
        <v/>
      </c>
      <c r="J14" s="108" t="str">
        <f>'Rebeca Ortiz'!J14</f>
        <v>Referido (Proveedor/Subcontratista)</v>
      </c>
      <c r="K14" s="12" t="str">
        <f>'Rebeca Ortiz'!K14</f>
        <v>Rebeca Ortiz</v>
      </c>
    </row>
    <row r="15" ht="22.5" customHeight="1">
      <c r="A15" s="107" t="str">
        <f>'Rebeca Ortiz'!A15</f>
        <v>PSP15</v>
      </c>
      <c r="B15" s="12" t="str">
        <f>'Rebeca Ortiz'!B15</f>
        <v>Ricardo Hernandez</v>
      </c>
      <c r="C15" s="12" t="str">
        <f>'Rebeca Ortiz'!C15</f>
        <v>TENNECO</v>
      </c>
      <c r="D15" s="12" t="str">
        <f>'Rebeca Ortiz'!D15</f>
        <v/>
      </c>
      <c r="E15" s="12" t="str">
        <f>'Rebeca Ortiz'!E15</f>
        <v>SFV</v>
      </c>
      <c r="F15" s="108" t="str">
        <f>'Rebeca Ortiz'!F15</f>
        <v>1. Prospección</v>
      </c>
      <c r="G15" s="48">
        <f>'Rebeca Ortiz'!G15</f>
        <v>45961</v>
      </c>
      <c r="H15" s="49">
        <f>'Rebeca Ortiz'!H15</f>
        <v>100000</v>
      </c>
      <c r="I15" s="21" t="str">
        <f>'Rebeca Ortiz'!I15</f>
        <v/>
      </c>
      <c r="J15" s="108" t="str">
        <f>'Rebeca Ortiz'!J15</f>
        <v>LinkedIn (Orgánico)</v>
      </c>
      <c r="K15" s="12" t="str">
        <f>'Rebeca Ortiz'!K15</f>
        <v>Rebeca Ortiz</v>
      </c>
    </row>
    <row r="16" ht="22.5" customHeight="1">
      <c r="A16" s="107" t="str">
        <f>'Rebeca Ortiz'!A16</f>
        <v>PSP16</v>
      </c>
      <c r="B16" s="12" t="str">
        <f>'Rebeca Ortiz'!B16</f>
        <v>Ana Trejo Ruiz</v>
      </c>
      <c r="C16" s="12" t="str">
        <f>'Rebeca Ortiz'!C16</f>
        <v>Baomarc Automotive Solutions
</v>
      </c>
      <c r="D16" s="12" t="str">
        <f>'Rebeca Ortiz'!D16</f>
        <v/>
      </c>
      <c r="E16" s="12" t="str">
        <f>'Rebeca Ortiz'!E16</f>
        <v>SFV</v>
      </c>
      <c r="F16" s="108" t="str">
        <f>'Rebeca Ortiz'!F16</f>
        <v>1. Prospección</v>
      </c>
      <c r="G16" s="48">
        <f>'Rebeca Ortiz'!G16</f>
        <v>45597</v>
      </c>
      <c r="H16" s="49">
        <f>'Rebeca Ortiz'!H16</f>
        <v>100000</v>
      </c>
      <c r="I16" s="21" t="str">
        <f>'Rebeca Ortiz'!I16</f>
        <v/>
      </c>
      <c r="J16" s="108" t="str">
        <f>'Rebeca Ortiz'!J16</f>
        <v>LinkedIn (Orgánico)</v>
      </c>
      <c r="K16" s="12" t="str">
        <f>'Rebeca Ortiz'!K16</f>
        <v>Rebeca Ortiz</v>
      </c>
    </row>
    <row r="17" ht="22.5" customHeight="1">
      <c r="A17" s="107" t="str">
        <f>'Rebeca Ortiz'!A17</f>
        <v>PSP17</v>
      </c>
      <c r="B17" s="12" t="str">
        <f>'Rebeca Ortiz'!B17</f>
        <v>Elena Pegueros
</v>
      </c>
      <c r="C17" s="12" t="str">
        <f>'Rebeca Ortiz'!C17</f>
        <v>MPI PRODUCTS LLC</v>
      </c>
      <c r="D17" s="12" t="str">
        <f>'Rebeca Ortiz'!D17</f>
        <v/>
      </c>
      <c r="E17" s="12" t="str">
        <f>'Rebeca Ortiz'!E17</f>
        <v>SFV</v>
      </c>
      <c r="F17" s="108" t="str">
        <f>'Rebeca Ortiz'!F17</f>
        <v>1. Prospección</v>
      </c>
      <c r="G17" s="48">
        <f>'Rebeca Ortiz'!G17</f>
        <v>45597</v>
      </c>
      <c r="H17" s="49">
        <f>'Rebeca Ortiz'!H17</f>
        <v>100000</v>
      </c>
      <c r="I17" s="21" t="str">
        <f>'Rebeca Ortiz'!I17</f>
        <v/>
      </c>
      <c r="J17" s="108" t="str">
        <f>'Rebeca Ortiz'!J17</f>
        <v>LinkedIn (Orgánico)</v>
      </c>
      <c r="K17" s="12" t="str">
        <f>'Rebeca Ortiz'!K17</f>
        <v>Rebeca Ortiz</v>
      </c>
    </row>
    <row r="18" ht="22.5" customHeight="1">
      <c r="A18" s="107" t="str">
        <f>'Rebeca Ortiz'!A18</f>
        <v>PSP18</v>
      </c>
      <c r="B18" s="12" t="str">
        <f>'Rebeca Ortiz'!B18</f>
        <v>Alain Ulisses Mandujano
</v>
      </c>
      <c r="C18" s="12" t="str">
        <f>'Rebeca Ortiz'!C18</f>
        <v>Martinrea International
</v>
      </c>
      <c r="D18" s="12" t="str">
        <f>'Rebeca Ortiz'!D18</f>
        <v/>
      </c>
      <c r="E18" s="12" t="str">
        <f>'Rebeca Ortiz'!E18</f>
        <v>SFV</v>
      </c>
      <c r="F18" s="108" t="str">
        <f>'Rebeca Ortiz'!F18</f>
        <v>1. Prospección</v>
      </c>
      <c r="G18" s="48">
        <f>'Rebeca Ortiz'!G18</f>
        <v>45597</v>
      </c>
      <c r="H18" s="49" t="str">
        <f>'Rebeca Ortiz'!H18</f>
        <v/>
      </c>
      <c r="I18" s="21" t="str">
        <f>'Rebeca Ortiz'!I18</f>
        <v/>
      </c>
      <c r="J18" s="108" t="str">
        <f>'Rebeca Ortiz'!J18</f>
        <v>LinkedIn (Orgánico)</v>
      </c>
      <c r="K18" s="12" t="str">
        <f>'Rebeca Ortiz'!K18</f>
        <v>Rebeca Ortiz</v>
      </c>
    </row>
    <row r="19" ht="22.5" customHeight="1">
      <c r="A19" s="107" t="str">
        <f>'Rebeca Ortiz'!A19</f>
        <v>PSP19</v>
      </c>
      <c r="B19" s="12" t="str">
        <f>'Rebeca Ortiz'!B19</f>
        <v>Lauro Cardona </v>
      </c>
      <c r="C19" s="48" t="str">
        <f>'Rebeca Ortiz'!C19</f>
        <v>PALZIV  </v>
      </c>
      <c r="D19" s="12" t="str">
        <f>'Rebeca Ortiz'!D19</f>
        <v/>
      </c>
      <c r="E19" s="12" t="str">
        <f>'Rebeca Ortiz'!E19</f>
        <v>SFV</v>
      </c>
      <c r="F19" s="108" t="str">
        <f>'Rebeca Ortiz'!F19</f>
        <v>8. Propuesta Enviada</v>
      </c>
      <c r="G19" s="48">
        <f>'Rebeca Ortiz'!G19</f>
        <v>45704</v>
      </c>
      <c r="H19" s="49" t="str">
        <f>'Rebeca Ortiz'!H19</f>
        <v/>
      </c>
      <c r="I19" s="21" t="str">
        <f>'Rebeca Ortiz'!I19</f>
        <v/>
      </c>
      <c r="J19" s="108" t="str">
        <f>'Rebeca Ortiz'!J19</f>
        <v>Reactivación de Base de Datos</v>
      </c>
      <c r="K19" s="12" t="str">
        <f>'Rebeca Ortiz'!K19</f>
        <v>Rebeca Ortiz</v>
      </c>
    </row>
    <row r="20" ht="22.5" customHeight="1">
      <c r="A20" s="107" t="str">
        <f>'Rebeca Ortiz'!A20</f>
        <v>PSP20</v>
      </c>
      <c r="B20" s="12" t="str">
        <f>'Rebeca Ortiz'!B20</f>
        <v>Hector Uscanga EHS</v>
      </c>
      <c r="C20" s="12" t="str">
        <f>'Rebeca Ortiz'!C20</f>
        <v>Foamotive Mex SA de CV</v>
      </c>
      <c r="D20" s="12" t="str">
        <f>'Rebeca Ortiz'!D20</f>
        <v/>
      </c>
      <c r="E20" s="12" t="str">
        <f>'Rebeca Ortiz'!E20</f>
        <v>SFV</v>
      </c>
      <c r="F20" s="108" t="str">
        <f>'Rebeca Ortiz'!F20</f>
        <v>8. Propuesta Enviada</v>
      </c>
      <c r="G20" s="48">
        <f>'Rebeca Ortiz'!G20</f>
        <v>45704</v>
      </c>
      <c r="H20" s="49" t="str">
        <f>'Rebeca Ortiz'!H20</f>
        <v/>
      </c>
      <c r="I20" s="21" t="str">
        <f>'Rebeca Ortiz'!I20</f>
        <v/>
      </c>
      <c r="J20" s="108" t="str">
        <f>'Rebeca Ortiz'!J20</f>
        <v>Reactivación de Base de Datos</v>
      </c>
      <c r="K20" s="12" t="str">
        <f>'Rebeca Ortiz'!K20</f>
        <v>Rebeca Ortiz</v>
      </c>
    </row>
    <row r="21" ht="22.5" customHeight="1">
      <c r="A21" s="107" t="str">
        <f>'Rebeca Ortiz'!A21</f>
        <v>PSP21</v>
      </c>
      <c r="B21" s="12" t="str">
        <f>'Rebeca Ortiz'!B21</f>
        <v>Martin Becerra</v>
      </c>
      <c r="C21" s="12" t="str">
        <f>'Rebeca Ortiz'!C21</f>
        <v>TOYOTA TSUSHO</v>
      </c>
      <c r="D21" s="12" t="str">
        <f>'Rebeca Ortiz'!D21</f>
        <v/>
      </c>
      <c r="E21" s="12" t="str">
        <f>'Rebeca Ortiz'!E21</f>
        <v>SFV</v>
      </c>
      <c r="F21" s="108" t="str">
        <f>'Rebeca Ortiz'!F21</f>
        <v>15. En Pausa / Seguimiento Posterior</v>
      </c>
      <c r="G21" s="48">
        <f>'Rebeca Ortiz'!G21</f>
        <v>45600</v>
      </c>
      <c r="H21" s="49" t="str">
        <f>'Rebeca Ortiz'!H21</f>
        <v/>
      </c>
      <c r="I21" s="21" t="str">
        <f>'Rebeca Ortiz'!I21</f>
        <v/>
      </c>
      <c r="J21" s="108" t="str">
        <f>'Rebeca Ortiz'!J21</f>
        <v>Google Ads (Search)</v>
      </c>
      <c r="K21" s="12" t="str">
        <f>'Rebeca Ortiz'!K21</f>
        <v>Rebeca Ortiz</v>
      </c>
    </row>
    <row r="22" ht="22.5" customHeight="1">
      <c r="A22" s="107" t="str">
        <f>'Rebeca Ortiz'!A22</f>
        <v>PSP22</v>
      </c>
      <c r="B22" s="12" t="str">
        <f>'Rebeca Ortiz'!B22</f>
        <v>Osvaldo</v>
      </c>
      <c r="C22" s="12" t="str">
        <f>'Rebeca Ortiz'!C22</f>
        <v>NATUFARM</v>
      </c>
      <c r="D22" s="12" t="str">
        <f>'Rebeca Ortiz'!D22</f>
        <v/>
      </c>
      <c r="E22" s="12" t="str">
        <f>'Rebeca Ortiz'!E22</f>
        <v>SFV</v>
      </c>
      <c r="F22" s="108" t="str">
        <f>'Rebeca Ortiz'!F22</f>
        <v>8. Propuesta Enviada</v>
      </c>
      <c r="G22" s="48">
        <f>'Rebeca Ortiz'!G22</f>
        <v>45876</v>
      </c>
      <c r="H22" s="49" t="str">
        <f>'Rebeca Ortiz'!H22</f>
        <v/>
      </c>
      <c r="I22" s="21" t="str">
        <f>'Rebeca Ortiz'!I22</f>
        <v/>
      </c>
      <c r="J22" s="108" t="str">
        <f>'Rebeca Ortiz'!J22</f>
        <v>Visita en Frío (Prospección)</v>
      </c>
      <c r="K22" s="12" t="str">
        <f>'Rebeca Ortiz'!K22</f>
        <v>Rebeca Ortiz</v>
      </c>
    </row>
    <row r="23" ht="22.5" customHeight="1">
      <c r="A23" s="107" t="str">
        <f>'Rebeca Ortiz'!A23</f>
        <v>PSP23</v>
      </c>
      <c r="B23" s="12" t="str">
        <f>'Rebeca Ortiz'!B23</f>
        <v>Ursula Arredondo</v>
      </c>
      <c r="C23" s="12" t="str">
        <f>'Rebeca Ortiz'!C23</f>
        <v>CENTRO DE NEGOCIOS BAJIO</v>
      </c>
      <c r="D23" s="12" t="str">
        <f>'Rebeca Ortiz'!D23</f>
        <v/>
      </c>
      <c r="E23" s="12" t="str">
        <f>'Rebeca Ortiz'!E23</f>
        <v>SFV</v>
      </c>
      <c r="F23" s="108" t="str">
        <f>'Rebeca Ortiz'!F23</f>
        <v>8. Propuesta Enviada</v>
      </c>
      <c r="G23" s="48">
        <f>'Rebeca Ortiz'!G23</f>
        <v>45940</v>
      </c>
      <c r="H23" s="49" t="str">
        <f>'Rebeca Ortiz'!H23</f>
        <v/>
      </c>
      <c r="I23" s="21" t="str">
        <f>'Rebeca Ortiz'!I23</f>
        <v/>
      </c>
      <c r="J23" s="108" t="str">
        <f>'Rebeca Ortiz'!J23</f>
        <v>Llamada en Frío (Prospección)</v>
      </c>
      <c r="K23" s="12" t="str">
        <f>'Rebeca Ortiz'!K23</f>
        <v>Rebeca Ortiz</v>
      </c>
    </row>
    <row r="24" ht="22.5" customHeight="1">
      <c r="A24" s="107" t="str">
        <f>'Rebeca Ortiz'!A24</f>
        <v>PSP24</v>
      </c>
      <c r="B24" s="12" t="str">
        <f>'Rebeca Ortiz'!B24</f>
        <v>HUGO ALEMAN</v>
      </c>
      <c r="C24" s="12" t="str">
        <f>'Rebeca Ortiz'!C24</f>
        <v>MELFI</v>
      </c>
      <c r="D24" s="12" t="str">
        <f>'Rebeca Ortiz'!D24</f>
        <v/>
      </c>
      <c r="E24" s="12" t="str">
        <f>'Rebeca Ortiz'!E24</f>
        <v>SFV</v>
      </c>
      <c r="F24" s="108" t="str">
        <f>'Rebeca Ortiz'!F24</f>
        <v>10. Negociación</v>
      </c>
      <c r="G24" s="48">
        <f>'Rebeca Ortiz'!G24</f>
        <v>45947</v>
      </c>
      <c r="H24" s="49" t="str">
        <f>'Rebeca Ortiz'!H24</f>
        <v/>
      </c>
      <c r="I24" s="21" t="str">
        <f>'Rebeca Ortiz'!I24</f>
        <v/>
      </c>
      <c r="J24" s="108" t="str">
        <f>'Rebeca Ortiz'!J24</f>
        <v>Visita en Frío (Prospección)</v>
      </c>
      <c r="K24" s="12" t="str">
        <f>'Rebeca Ortiz'!K24</f>
        <v>Rebeca Ortiz</v>
      </c>
    </row>
    <row r="25" ht="22.5" customHeight="1">
      <c r="A25" s="107" t="str">
        <f>'Rebeca Ortiz'!A25</f>
        <v>PSP25</v>
      </c>
      <c r="B25" s="12" t="str">
        <f>'Rebeca Ortiz'!B25</f>
        <v>Ing. Omar Torres </v>
      </c>
      <c r="C25" s="12" t="str">
        <f>'Rebeca Ortiz'!C25</f>
        <v>CLUB CENTURY</v>
      </c>
      <c r="D25" s="12" t="str">
        <f>'Rebeca Ortiz'!D25</f>
        <v/>
      </c>
      <c r="E25" s="12" t="str">
        <f>'Rebeca Ortiz'!E25</f>
        <v>SFV</v>
      </c>
      <c r="F25" s="108" t="str">
        <f>'Rebeca Ortiz'!F25</f>
        <v>11. Aprobación Interna (Go/No-Go)</v>
      </c>
      <c r="G25" s="48">
        <f>'Rebeca Ortiz'!G25</f>
        <v>45720</v>
      </c>
      <c r="H25" s="49" t="str">
        <f>'Rebeca Ortiz'!H25</f>
        <v/>
      </c>
      <c r="I25" s="21" t="str">
        <f>'Rebeca Ortiz'!I25</f>
        <v/>
      </c>
      <c r="J25" s="108" t="str">
        <f>'Rebeca Ortiz'!J25</f>
        <v>Referido (Cliente)</v>
      </c>
      <c r="K25" s="12" t="str">
        <f>'Rebeca Ortiz'!K25</f>
        <v>Rebeca Ortiz</v>
      </c>
    </row>
    <row r="26" ht="22.5" customHeight="1">
      <c r="A26" s="107" t="str">
        <f>'Rebeca Ortiz'!A26</f>
        <v>PSP26</v>
      </c>
      <c r="B26" s="12" t="str">
        <f>'Rebeca Ortiz'!B26</f>
        <v>Ing. Victor Cuarenta </v>
      </c>
      <c r="C26" s="12" t="str">
        <f>'Rebeca Ortiz'!C26</f>
        <v>EUROCAST</v>
      </c>
      <c r="D26" s="110" t="str">
        <f>'Rebeca Ortiz'!D26</f>
        <v>Celaya</v>
      </c>
      <c r="E26" s="12" t="str">
        <f>'Rebeca Ortiz'!E26</f>
        <v>SFV</v>
      </c>
      <c r="F26" s="108" t="str">
        <f>'Rebeca Ortiz'!F26</f>
        <v>15. En Pausa / Seguimiento Posterior</v>
      </c>
      <c r="G26" s="48">
        <f>'Rebeca Ortiz'!G26</f>
        <v>45190</v>
      </c>
      <c r="H26" s="49" t="str">
        <f>'Rebeca Ortiz'!H26</f>
        <v/>
      </c>
      <c r="I26" s="21" t="str">
        <f>'Rebeca Ortiz'!I26</f>
        <v/>
      </c>
      <c r="J26" s="108" t="str">
        <f>'Rebeca Ortiz'!J26</f>
        <v>Reactivación de Base de Datos</v>
      </c>
      <c r="K26" s="12" t="str">
        <f>'Rebeca Ortiz'!K26</f>
        <v>Rebeca Ortiz</v>
      </c>
    </row>
    <row r="27" ht="22.5" customHeight="1">
      <c r="A27" s="107" t="str">
        <f>'Rebeca Ortiz'!A27</f>
        <v>PSP27</v>
      </c>
      <c r="B27" s="12" t="str">
        <f>'Rebeca Ortiz'!B27</f>
        <v>Sergio Antonio Ochoa Ramirez</v>
      </c>
      <c r="C27" s="12" t="str">
        <f>'Rebeca Ortiz'!C27</f>
        <v>Schweitzer Engineering Laboratories, (S.L.P.)</v>
      </c>
      <c r="D27" s="110" t="str">
        <f>'Rebeca Ortiz'!D27</f>
        <v>S.L.P.</v>
      </c>
      <c r="E27" s="12" t="str">
        <f>'Rebeca Ortiz'!E27</f>
        <v>SFV</v>
      </c>
      <c r="F27" s="108" t="str">
        <f>'Rebeca Ortiz'!F27</f>
        <v>1. Prospección</v>
      </c>
      <c r="G27" s="48">
        <f>'Rebeca Ortiz'!G27</f>
        <v>45597</v>
      </c>
      <c r="H27" s="49" t="str">
        <f>'Rebeca Ortiz'!H27</f>
        <v/>
      </c>
      <c r="I27" s="21" t="str">
        <f>'Rebeca Ortiz'!I27</f>
        <v/>
      </c>
      <c r="J27" s="108" t="str">
        <f>'Rebeca Ortiz'!J27</f>
        <v>LinkedIn (Orgánico)</v>
      </c>
      <c r="K27" s="12" t="str">
        <f>'Rebeca Ortiz'!K27</f>
        <v>Rebeca Ortiz</v>
      </c>
    </row>
    <row r="28" ht="22.5" customHeight="1">
      <c r="A28" s="107" t="str">
        <f>'Rebeca Ortiz'!A28</f>
        <v>PSP28</v>
      </c>
      <c r="B28" s="12" t="str">
        <f>'Rebeca Ortiz'!B28</f>
        <v>Luciano García Tovar </v>
      </c>
      <c r="C28" s="12" t="str">
        <f>'Rebeca Ortiz'!C28</f>
        <v>GKN Automotive</v>
      </c>
      <c r="D28" s="110" t="str">
        <f>'Rebeca Ortiz'!D28</f>
        <v>Celaya</v>
      </c>
      <c r="E28" s="12" t="str">
        <f>'Rebeca Ortiz'!E28</f>
        <v>SFV</v>
      </c>
      <c r="F28" s="108" t="str">
        <f>'Rebeca Ortiz'!F28</f>
        <v>1. Prospección</v>
      </c>
      <c r="G28" s="48">
        <f>'Rebeca Ortiz'!G28</f>
        <v>45597</v>
      </c>
      <c r="H28" s="49" t="str">
        <f>'Rebeca Ortiz'!H28</f>
        <v/>
      </c>
      <c r="I28" s="21" t="str">
        <f>'Rebeca Ortiz'!I28</f>
        <v/>
      </c>
      <c r="J28" s="108" t="str">
        <f>'Rebeca Ortiz'!J28</f>
        <v>LinkedIn (Orgánico)</v>
      </c>
      <c r="K28" s="12" t="str">
        <f>'Rebeca Ortiz'!K28</f>
        <v>Rebeca Ortiz</v>
      </c>
    </row>
    <row r="29" ht="22.5" customHeight="1">
      <c r="A29" s="107" t="str">
        <f>'Rebeca Ortiz'!A29</f>
        <v>PSP29</v>
      </c>
      <c r="B29" s="12" t="str">
        <f>'Rebeca Ortiz'!B29</f>
        <v>José Rafael Rosas Villanueva</v>
      </c>
      <c r="C29" s="12" t="str">
        <f>'Rebeca Ortiz'!C29</f>
        <v>PiSA Farmacéutica</v>
      </c>
      <c r="D29" s="110" t="str">
        <f>'Rebeca Ortiz'!D29</f>
        <v>Jalisco</v>
      </c>
      <c r="E29" s="12" t="str">
        <f>'Rebeca Ortiz'!E29</f>
        <v>SFV</v>
      </c>
      <c r="F29" s="108" t="str">
        <f>'Rebeca Ortiz'!F29</f>
        <v>1. Prospección</v>
      </c>
      <c r="G29" s="48">
        <f>'Rebeca Ortiz'!G29</f>
        <v>45597</v>
      </c>
      <c r="H29" s="49" t="str">
        <f>'Rebeca Ortiz'!H29</f>
        <v/>
      </c>
      <c r="I29" s="21" t="str">
        <f>'Rebeca Ortiz'!I29</f>
        <v/>
      </c>
      <c r="J29" s="108" t="str">
        <f>'Rebeca Ortiz'!J29</f>
        <v>LinkedIn (Orgánico)</v>
      </c>
      <c r="K29" s="12" t="str">
        <f>'Rebeca Ortiz'!K29</f>
        <v>Rebeca Ortiz</v>
      </c>
    </row>
    <row r="30" ht="22.5" customHeight="1">
      <c r="A30" s="107" t="str">
        <f>'Rebeca Ortiz'!A30</f>
        <v>PSP30</v>
      </c>
      <c r="B30" s="12" t="str">
        <f>'Rebeca Ortiz'!B30</f>
        <v>Ileana Belem Ayala Álvarez </v>
      </c>
      <c r="C30" s="12" t="str">
        <f>'Rebeca Ortiz'!C30</f>
        <v>Printpack</v>
      </c>
      <c r="D30" s="110" t="str">
        <f>'Rebeca Ortiz'!D30</f>
        <v>Querétaro</v>
      </c>
      <c r="E30" s="12" t="str">
        <f>'Rebeca Ortiz'!E30</f>
        <v>SFV</v>
      </c>
      <c r="F30" s="108" t="str">
        <f>'Rebeca Ortiz'!F30</f>
        <v>1. Prospección</v>
      </c>
      <c r="G30" s="48">
        <f>'Rebeca Ortiz'!G30</f>
        <v>45597</v>
      </c>
      <c r="H30" s="49" t="str">
        <f>'Rebeca Ortiz'!H30</f>
        <v/>
      </c>
      <c r="I30" s="21" t="str">
        <f>'Rebeca Ortiz'!I30</f>
        <v/>
      </c>
      <c r="J30" s="108" t="str">
        <f>'Rebeca Ortiz'!J30</f>
        <v>LinkedIn (Orgánico)</v>
      </c>
      <c r="K30" s="12" t="str">
        <f>'Rebeca Ortiz'!K30</f>
        <v>Rebeca Ortiz</v>
      </c>
    </row>
    <row r="31" ht="22.5" customHeight="1">
      <c r="A31" s="107" t="str">
        <f>'Rebeca Ortiz'!A31</f>
        <v>PSP31</v>
      </c>
      <c r="B31" s="12" t="str">
        <f>'Rebeca Ortiz'!B31</f>
        <v>Enrique Jimenez </v>
      </c>
      <c r="C31" s="12" t="str">
        <f>'Rebeca Ortiz'!C31</f>
        <v>COFICAB</v>
      </c>
      <c r="D31" s="12" t="str">
        <f>'Rebeca Ortiz'!D31</f>
        <v/>
      </c>
      <c r="E31" s="12" t="str">
        <f>'Rebeca Ortiz'!E31</f>
        <v>SFV</v>
      </c>
      <c r="F31" s="108" t="str">
        <f>'Rebeca Ortiz'!F31</f>
        <v>1. Prospección</v>
      </c>
      <c r="G31" s="48">
        <f>'Rebeca Ortiz'!G31</f>
        <v>45601</v>
      </c>
      <c r="H31" s="49" t="str">
        <f>'Rebeca Ortiz'!H31</f>
        <v/>
      </c>
      <c r="I31" s="21" t="str">
        <f>'Rebeca Ortiz'!I31</f>
        <v/>
      </c>
      <c r="J31" s="108" t="str">
        <f>'Rebeca Ortiz'!J31</f>
        <v>LinkedIn (Orgánico)</v>
      </c>
      <c r="K31" s="12" t="str">
        <f>'Rebeca Ortiz'!K31</f>
        <v>Rebeca Ortiz</v>
      </c>
    </row>
    <row r="32" ht="22.5" customHeight="1">
      <c r="A32" s="107" t="str">
        <f>'Rebeca Ortiz'!A32</f>
        <v>PSP32</v>
      </c>
      <c r="B32" s="12" t="str">
        <f>'Rebeca Ortiz'!B32</f>
        <v>Erika Gonzalez Molina</v>
      </c>
      <c r="C32" s="12" t="str">
        <f>'Rebeca Ortiz'!C32</f>
        <v>Nemak</v>
      </c>
      <c r="D32" s="12" t="str">
        <f>'Rebeca Ortiz'!D32</f>
        <v/>
      </c>
      <c r="E32" s="12" t="str">
        <f>'Rebeca Ortiz'!E32</f>
        <v>SFV</v>
      </c>
      <c r="F32" s="108" t="str">
        <f>'Rebeca Ortiz'!F32</f>
        <v>1. Prospección</v>
      </c>
      <c r="G32" s="48">
        <f>'Rebeca Ortiz'!G32</f>
        <v>45990</v>
      </c>
      <c r="H32" s="49" t="str">
        <f>'Rebeca Ortiz'!H32</f>
        <v/>
      </c>
      <c r="I32" s="21" t="str">
        <f>'Rebeca Ortiz'!I32</f>
        <v/>
      </c>
      <c r="J32" s="108" t="str">
        <f>'Rebeca Ortiz'!J32</f>
        <v>LinkedIn (Orgánico)</v>
      </c>
      <c r="K32" s="12" t="str">
        <f>'Rebeca Ortiz'!K32</f>
        <v>Rebeca Ortiz</v>
      </c>
    </row>
    <row r="33" ht="22.5" customHeight="1">
      <c r="A33" s="107" t="str">
        <f>'Rebeca Ortiz'!A33</f>
        <v>PSP33</v>
      </c>
      <c r="B33" s="12" t="str">
        <f>'Rebeca Ortiz'!B33</f>
        <v>Ricardo Zambrano</v>
      </c>
      <c r="C33" s="12" t="str">
        <f>'Rebeca Ortiz'!C33</f>
        <v>Kluthe Group</v>
      </c>
      <c r="D33" s="110" t="str">
        <f>'Rebeca Ortiz'!D33</f>
        <v>Puebla</v>
      </c>
      <c r="E33" s="12" t="str">
        <f>'Rebeca Ortiz'!E33</f>
        <v>SFV</v>
      </c>
      <c r="F33" s="108" t="str">
        <f>'Rebeca Ortiz'!F33</f>
        <v>2. Contacto Inicial</v>
      </c>
      <c r="G33" s="48">
        <f>'Rebeca Ortiz'!G33</f>
        <v>45964</v>
      </c>
      <c r="H33" s="49" t="str">
        <f>'Rebeca Ortiz'!H33</f>
        <v/>
      </c>
      <c r="I33" s="21" t="str">
        <f>'Rebeca Ortiz'!I33</f>
        <v/>
      </c>
      <c r="J33" s="108" t="str">
        <f>'Rebeca Ortiz'!J33</f>
        <v>Redes Sociales (Facebook/Instagram)</v>
      </c>
      <c r="K33" s="12" t="str">
        <f>'Rebeca Ortiz'!K33</f>
        <v>Rebeca Ortiz</v>
      </c>
    </row>
    <row r="34" ht="22.5" customHeight="1">
      <c r="A34" s="107" t="str">
        <f>'Rebeca Ortiz'!A34</f>
        <v>PSP34</v>
      </c>
      <c r="B34" s="12" t="str">
        <f>'Rebeca Ortiz'!B34</f>
        <v>Alexis Lopez</v>
      </c>
      <c r="C34" s="12" t="str">
        <f>'Rebeca Ortiz'!C34</f>
        <v>Fabrica Sombreros</v>
      </c>
      <c r="D34" s="12" t="str">
        <f>'Rebeca Ortiz'!D34</f>
        <v/>
      </c>
      <c r="E34" s="12" t="str">
        <f>'Rebeca Ortiz'!E34</f>
        <v>SFV</v>
      </c>
      <c r="F34" s="108" t="str">
        <f>'Rebeca Ortiz'!F34</f>
        <v>2. Contacto Inicial</v>
      </c>
      <c r="G34" s="48">
        <f>'Rebeca Ortiz'!G34</f>
        <v>46050</v>
      </c>
      <c r="H34" s="49" t="str">
        <f>'Rebeca Ortiz'!H34</f>
        <v/>
      </c>
      <c r="I34" s="21" t="str">
        <f>'Rebeca Ortiz'!I34</f>
        <v/>
      </c>
      <c r="J34" s="108" t="str">
        <f>'Rebeca Ortiz'!J34</f>
        <v>Visita en Frío (Prospección)</v>
      </c>
      <c r="K34" s="12" t="str">
        <f>'Rebeca Ortiz'!K34</f>
        <v>Rebeca Ortiz</v>
      </c>
    </row>
    <row r="35" ht="22.5" customHeight="1">
      <c r="A35" s="107" t="str">
        <f>'Rebeca Ortiz'!A35</f>
        <v>PSP35</v>
      </c>
      <c r="B35" s="12" t="str">
        <f>'Rebeca Ortiz'!B35</f>
        <v>David Lugo</v>
      </c>
      <c r="C35" s="12" t="str">
        <f>'Rebeca Ortiz'!C35</f>
        <v>Vesuvius</v>
      </c>
      <c r="D35" s="12" t="str">
        <f>'Rebeca Ortiz'!D35</f>
        <v/>
      </c>
      <c r="E35" s="12" t="str">
        <f>'Rebeca Ortiz'!E35</f>
        <v>SFV</v>
      </c>
      <c r="F35" s="108" t="str">
        <f>'Rebeca Ortiz'!F35</f>
        <v>1. Prospección</v>
      </c>
      <c r="G35" s="48">
        <f>'Rebeca Ortiz'!G35</f>
        <v>45962</v>
      </c>
      <c r="H35" s="49" t="str">
        <f>'Rebeca Ortiz'!H35</f>
        <v/>
      </c>
      <c r="I35" s="21" t="str">
        <f>'Rebeca Ortiz'!I35</f>
        <v/>
      </c>
      <c r="J35" s="108" t="str">
        <f>'Rebeca Ortiz'!J35</f>
        <v>LinkedIn (Orgánico)</v>
      </c>
      <c r="K35" s="12" t="str">
        <f>'Rebeca Ortiz'!K35</f>
        <v>Rebeca Ortiz</v>
      </c>
    </row>
    <row r="36" ht="22.5" customHeight="1">
      <c r="A36" s="107" t="str">
        <f>'Rebeca Ortiz'!A36</f>
        <v>PSP36</v>
      </c>
      <c r="B36" s="12" t="str">
        <f>'Rebeca Ortiz'!B36</f>
        <v>Paulina Herrera</v>
      </c>
      <c r="C36" s="12" t="str">
        <f>'Rebeca Ortiz'!C36</f>
        <v>Qualus</v>
      </c>
      <c r="D36" s="110" t="str">
        <f>'Rebeca Ortiz'!D36</f>
        <v>Leon</v>
      </c>
      <c r="E36" s="12" t="str">
        <f>'Rebeca Ortiz'!E36</f>
        <v>SFV</v>
      </c>
      <c r="F36" s="108" t="str">
        <f>'Rebeca Ortiz'!F36</f>
        <v>9. Aclaraciones / Ajustes de Propuesta</v>
      </c>
      <c r="G36" s="48">
        <f>'Rebeca Ortiz'!G36</f>
        <v>45709</v>
      </c>
      <c r="H36" s="49" t="str">
        <f>'Rebeca Ortiz'!H36</f>
        <v/>
      </c>
      <c r="I36" s="21" t="str">
        <f>'Rebeca Ortiz'!I36</f>
        <v/>
      </c>
      <c r="J36" s="108" t="str">
        <f>'Rebeca Ortiz'!J36</f>
        <v>Visita en Frío (Prospección)</v>
      </c>
      <c r="K36" s="12" t="str">
        <f>'Rebeca Ortiz'!K36</f>
        <v>Rebeca Ortiz</v>
      </c>
    </row>
    <row r="37" ht="22.5" customHeight="1">
      <c r="A37" s="107" t="str">
        <f>'Rebeca Ortiz'!A37</f>
        <v>PSP37</v>
      </c>
      <c r="B37" s="12" t="str">
        <f>'Rebeca Ortiz'!B37</f>
        <v>Ing. Ernesto Hernandez</v>
      </c>
      <c r="C37" s="12" t="str">
        <f>'Rebeca Ortiz'!C37</f>
        <v>Units Mexico</v>
      </c>
      <c r="D37" s="110" t="str">
        <f>'Rebeca Ortiz'!D37</f>
        <v>Leon</v>
      </c>
      <c r="E37" s="12" t="str">
        <f>'Rebeca Ortiz'!E37</f>
        <v>SFV</v>
      </c>
      <c r="F37" s="108" t="str">
        <f>'Rebeca Ortiz'!F37</f>
        <v>2. Contacto Inicial</v>
      </c>
      <c r="G37" s="48">
        <f>'Rebeca Ortiz'!G37</f>
        <v>45709</v>
      </c>
      <c r="H37" s="49" t="str">
        <f>'Rebeca Ortiz'!H37</f>
        <v/>
      </c>
      <c r="I37" s="21" t="str">
        <f>'Rebeca Ortiz'!I37</f>
        <v/>
      </c>
      <c r="J37" s="108" t="str">
        <f>'Rebeca Ortiz'!J37</f>
        <v>Visita en Frío (Prospección)</v>
      </c>
      <c r="K37" s="12" t="str">
        <f>'Rebeca Ortiz'!K37</f>
        <v>Rebeca Ortiz</v>
      </c>
    </row>
    <row r="38" ht="22.5" customHeight="1">
      <c r="A38" s="107" t="str">
        <f>'Rebeca Ortiz'!A38</f>
        <v>PSP38</v>
      </c>
      <c r="B38" s="12" t="str">
        <f>'Rebeca Ortiz'!B38</f>
        <v>Ana Castro</v>
      </c>
      <c r="C38" s="12" t="str">
        <f>'Rebeca Ortiz'!C38</f>
        <v>Teneria Vargas</v>
      </c>
      <c r="D38" s="110" t="str">
        <f>'Rebeca Ortiz'!D38</f>
        <v>Leon</v>
      </c>
      <c r="E38" s="12" t="str">
        <f>'Rebeca Ortiz'!E38</f>
        <v>SFV</v>
      </c>
      <c r="F38" s="108" t="str">
        <f>'Rebeca Ortiz'!F38</f>
        <v>2. Contacto Inicial</v>
      </c>
      <c r="G38" s="48">
        <f>'Rebeca Ortiz'!G38</f>
        <v>45709</v>
      </c>
      <c r="H38" s="49" t="str">
        <f>'Rebeca Ortiz'!H38</f>
        <v/>
      </c>
      <c r="I38" s="21" t="str">
        <f>'Rebeca Ortiz'!I38</f>
        <v/>
      </c>
      <c r="J38" s="108" t="str">
        <f>'Rebeca Ortiz'!J38</f>
        <v>Visita en Frío (Prospección)</v>
      </c>
      <c r="K38" s="12" t="str">
        <f>'Rebeca Ortiz'!K38</f>
        <v>Rebeca Ortiz</v>
      </c>
    </row>
    <row r="39" ht="22.5" customHeight="1">
      <c r="A39" s="107" t="str">
        <f>'Rebeca Ortiz'!A39</f>
        <v>PSP39</v>
      </c>
      <c r="B39" s="12" t="str">
        <f>'Rebeca Ortiz'!B39</f>
        <v>Rene</v>
      </c>
      <c r="C39" s="12" t="str">
        <f>'Rebeca Ortiz'!C39</f>
        <v>MYL</v>
      </c>
      <c r="D39" s="12" t="str">
        <f>'Rebeca Ortiz'!D39</f>
        <v/>
      </c>
      <c r="E39" s="12" t="str">
        <f>'Rebeca Ortiz'!E39</f>
        <v>SFV</v>
      </c>
      <c r="F39" s="108" t="str">
        <f>'Rebeca Ortiz'!F39</f>
        <v>2. Contacto Inicial</v>
      </c>
      <c r="G39" s="48">
        <f>'Rebeca Ortiz'!G39</f>
        <v>45709</v>
      </c>
      <c r="H39" s="49" t="str">
        <f>'Rebeca Ortiz'!H39</f>
        <v/>
      </c>
      <c r="I39" s="21" t="str">
        <f>'Rebeca Ortiz'!I39</f>
        <v/>
      </c>
      <c r="J39" s="108" t="str">
        <f>'Rebeca Ortiz'!J39</f>
        <v>Visita en Frío (Prospección)</v>
      </c>
      <c r="K39" s="12" t="str">
        <f>'Rebeca Ortiz'!K39</f>
        <v>Rebeca Ortiz</v>
      </c>
    </row>
    <row r="40" ht="22.5" customHeight="1">
      <c r="A40" s="107" t="str">
        <f>'Rebeca Ortiz'!A40</f>
        <v>PSP40</v>
      </c>
      <c r="B40" s="12" t="str">
        <f>'Rebeca Ortiz'!B40</f>
        <v>Sonia Medina García</v>
      </c>
      <c r="C40" s="12" t="str">
        <f>'Rebeca Ortiz'!C40</f>
        <v>Laboratio Silanes</v>
      </c>
      <c r="D40" s="12" t="str">
        <f>'Rebeca Ortiz'!D40</f>
        <v/>
      </c>
      <c r="E40" s="12" t="str">
        <f>'Rebeca Ortiz'!E40</f>
        <v>SFV</v>
      </c>
      <c r="F40" s="108" t="str">
        <f>'Rebeca Ortiz'!F40</f>
        <v>2. Contacto Inicial</v>
      </c>
      <c r="G40" s="48">
        <f>'Rebeca Ortiz'!G40</f>
        <v>45709</v>
      </c>
      <c r="H40" s="49" t="str">
        <f>'Rebeca Ortiz'!H40</f>
        <v/>
      </c>
      <c r="I40" s="21" t="str">
        <f>'Rebeca Ortiz'!I40</f>
        <v/>
      </c>
      <c r="J40" s="108" t="str">
        <f>'Rebeca Ortiz'!J40</f>
        <v>LinkedIn (Orgánico)</v>
      </c>
      <c r="K40" s="12" t="str">
        <f>'Rebeca Ortiz'!K40</f>
        <v>Rebeca Ortiz</v>
      </c>
    </row>
    <row r="41" ht="22.5" customHeight="1">
      <c r="A41" s="107" t="str">
        <f>'Rebeca Ortiz'!A41</f>
        <v>PSP41</v>
      </c>
      <c r="B41" s="12" t="str">
        <f>'Rebeca Ortiz'!B41</f>
        <v>Fabiola Fonseca</v>
      </c>
      <c r="C41" s="12" t="str">
        <f>'Rebeca Ortiz'!C41</f>
        <v>Residencial</v>
      </c>
      <c r="D41" s="12" t="str">
        <f>'Rebeca Ortiz'!D41</f>
        <v/>
      </c>
      <c r="E41" s="12" t="str">
        <f>'Rebeca Ortiz'!E41</f>
        <v>SFV</v>
      </c>
      <c r="F41" s="108" t="str">
        <f>'Rebeca Ortiz'!F41</f>
        <v>15. En Pausa / Seguimiento Posterior</v>
      </c>
      <c r="G41" s="48">
        <f>'Rebeca Ortiz'!G41</f>
        <v>45709</v>
      </c>
      <c r="H41" s="49" t="str">
        <f>'Rebeca Ortiz'!H41</f>
        <v/>
      </c>
      <c r="I41" s="21" t="str">
        <f>'Rebeca Ortiz'!I41</f>
        <v/>
      </c>
      <c r="J41" s="108" t="str">
        <f>'Rebeca Ortiz'!J41</f>
        <v>Visita en Frío (Prospección)</v>
      </c>
      <c r="K41" s="12" t="str">
        <f>'Rebeca Ortiz'!K41</f>
        <v>Rebeca Ortiz</v>
      </c>
    </row>
    <row r="42" ht="22.5" customHeight="1">
      <c r="A42" s="107" t="str">
        <f>'Rebeca Ortiz'!A42</f>
        <v>PSP42</v>
      </c>
      <c r="B42" s="12" t="str">
        <f>'Rebeca Ortiz'!B42</f>
        <v>Daniela Sauceda</v>
      </c>
      <c r="C42" s="12" t="str">
        <f>'Rebeca Ortiz'!C42</f>
        <v>Freudenberg Filter</v>
      </c>
      <c r="D42" s="12" t="str">
        <f>'Rebeca Ortiz'!D42</f>
        <v/>
      </c>
      <c r="E42" s="12" t="str">
        <f>'Rebeca Ortiz'!E42</f>
        <v>SFV</v>
      </c>
      <c r="F42" s="108" t="str">
        <f>'Rebeca Ortiz'!F42</f>
        <v>2. Contacto Inicial</v>
      </c>
      <c r="G42" s="48">
        <f>'Rebeca Ortiz'!G42</f>
        <v>45826</v>
      </c>
      <c r="H42" s="49" t="str">
        <f>'Rebeca Ortiz'!H42</f>
        <v/>
      </c>
      <c r="I42" s="21" t="str">
        <f>'Rebeca Ortiz'!I42</f>
        <v/>
      </c>
      <c r="J42" s="108" t="str">
        <f>'Rebeca Ortiz'!J42</f>
        <v>Visita en Frío (Prospección)</v>
      </c>
      <c r="K42" s="12" t="str">
        <f>'Rebeca Ortiz'!K42</f>
        <v>Rebeca Ortiz</v>
      </c>
    </row>
    <row r="43" ht="22.5" customHeight="1">
      <c r="A43" s="107" t="str">
        <f>'Rebeca Ortiz'!A43</f>
        <v>PSP43</v>
      </c>
      <c r="B43" s="12" t="str">
        <f>'Rebeca Ortiz'!B43</f>
        <v>Andres Hernandez</v>
      </c>
      <c r="C43" s="12" t="str">
        <f>'Rebeca Ortiz'!C43</f>
        <v>MMM Americas</v>
      </c>
      <c r="D43" s="110" t="str">
        <f>'Rebeca Ortiz'!D43</f>
        <v>Leon</v>
      </c>
      <c r="E43" s="12" t="str">
        <f>'Rebeca Ortiz'!E43</f>
        <v>SFV</v>
      </c>
      <c r="F43" s="108" t="str">
        <f>'Rebeca Ortiz'!F43</f>
        <v>2. Contacto Inicial</v>
      </c>
      <c r="G43" s="48">
        <f>'Rebeca Ortiz'!G43</f>
        <v>45826</v>
      </c>
      <c r="H43" s="49" t="str">
        <f>'Rebeca Ortiz'!H43</f>
        <v/>
      </c>
      <c r="I43" s="21" t="str">
        <f>'Rebeca Ortiz'!I43</f>
        <v/>
      </c>
      <c r="J43" s="108" t="str">
        <f>'Rebeca Ortiz'!J43</f>
        <v>Visita en Frío (Prospección)</v>
      </c>
      <c r="K43" s="12" t="str">
        <f>'Rebeca Ortiz'!K43</f>
        <v>Rebeca Ortiz</v>
      </c>
    </row>
    <row r="44" ht="22.5" customHeight="1">
      <c r="A44" s="107" t="str">
        <f>'Rebeca Ortiz'!A44</f>
        <v>PSP44</v>
      </c>
      <c r="B44" s="12" t="str">
        <f>'Rebeca Ortiz'!B44</f>
        <v>Vanessa Gutierrez</v>
      </c>
      <c r="C44" s="12" t="str">
        <f>'Rebeca Ortiz'!C44</f>
        <v>Sanac Mexcio</v>
      </c>
      <c r="D44" s="12" t="str">
        <f>'Rebeca Ortiz'!D44</f>
        <v/>
      </c>
      <c r="E44" s="12" t="str">
        <f>'Rebeca Ortiz'!E44</f>
        <v>SFV</v>
      </c>
      <c r="F44" s="108" t="str">
        <f>'Rebeca Ortiz'!F44</f>
        <v>2. Contacto Inicial</v>
      </c>
      <c r="G44" s="48">
        <f>'Rebeca Ortiz'!G44</f>
        <v>45826</v>
      </c>
      <c r="H44" s="49" t="str">
        <f>'Rebeca Ortiz'!H44</f>
        <v/>
      </c>
      <c r="I44" s="21" t="str">
        <f>'Rebeca Ortiz'!I44</f>
        <v/>
      </c>
      <c r="J44" s="108" t="str">
        <f>'Rebeca Ortiz'!J44</f>
        <v>Visita en Frío (Prospección)</v>
      </c>
      <c r="K44" s="12" t="str">
        <f>'Rebeca Ortiz'!K44</f>
        <v>Rebeca Ortiz</v>
      </c>
    </row>
    <row r="45" ht="22.5" customHeight="1">
      <c r="A45" s="107" t="str">
        <f>'Rebeca Ortiz'!A45</f>
        <v>PSP45</v>
      </c>
      <c r="B45" s="12" t="str">
        <f>'Rebeca Ortiz'!B45</f>
        <v>Guillermo Rangel</v>
      </c>
      <c r="C45" s="12" t="str">
        <f>'Rebeca Ortiz'!C45</f>
        <v>Ly-holding</v>
      </c>
      <c r="D45" s="12" t="str">
        <f>'Rebeca Ortiz'!D45</f>
        <v/>
      </c>
      <c r="E45" s="12" t="str">
        <f>'Rebeca Ortiz'!E45</f>
        <v>SFV</v>
      </c>
      <c r="F45" s="108" t="str">
        <f>'Rebeca Ortiz'!F45</f>
        <v>1. Prospección</v>
      </c>
      <c r="G45" s="48">
        <f>'Rebeca Ortiz'!G45</f>
        <v>45828</v>
      </c>
      <c r="H45" s="49" t="str">
        <f>'Rebeca Ortiz'!H45</f>
        <v/>
      </c>
      <c r="I45" s="21" t="str">
        <f>'Rebeca Ortiz'!I45</f>
        <v/>
      </c>
      <c r="J45" s="108" t="str">
        <f>'Rebeca Ortiz'!J45</f>
        <v>Visita en Frío (Prospección)</v>
      </c>
      <c r="K45" s="12" t="str">
        <f>'Rebeca Ortiz'!K45</f>
        <v>Rebeca Ortiz</v>
      </c>
    </row>
    <row r="46" ht="22.5" customHeight="1">
      <c r="A46" s="107" t="str">
        <f>'Rebeca Ortiz'!A46</f>
        <v>PSP46</v>
      </c>
      <c r="B46" s="12" t="str">
        <f>'Rebeca Ortiz'!B46</f>
        <v>Salvador  Escalera</v>
      </c>
      <c r="C46" s="12" t="str">
        <f>'Rebeca Ortiz'!C46</f>
        <v>Stalh</v>
      </c>
      <c r="D46" s="12" t="str">
        <f>'Rebeca Ortiz'!D46</f>
        <v/>
      </c>
      <c r="E46" s="12" t="str">
        <f>'Rebeca Ortiz'!E46</f>
        <v>SFV</v>
      </c>
      <c r="F46" s="108" t="str">
        <f>'Rebeca Ortiz'!F46</f>
        <v>2. Contacto Inicial</v>
      </c>
      <c r="G46" s="48">
        <f>'Rebeca Ortiz'!G46</f>
        <v>45840</v>
      </c>
      <c r="H46" s="49" t="str">
        <f>'Rebeca Ortiz'!H46</f>
        <v/>
      </c>
      <c r="I46" s="21" t="str">
        <f>'Rebeca Ortiz'!I46</f>
        <v/>
      </c>
      <c r="J46" s="108" t="str">
        <f>'Rebeca Ortiz'!J46</f>
        <v>Visita en Frío (Prospección)</v>
      </c>
      <c r="K46" s="12" t="str">
        <f>'Rebeca Ortiz'!K46</f>
        <v>Rebeca Ortiz</v>
      </c>
    </row>
    <row r="47" ht="22.5" customHeight="1">
      <c r="A47" s="107" t="str">
        <f>'Rebeca Ortiz'!A47</f>
        <v>PSP47</v>
      </c>
      <c r="B47" s="12" t="str">
        <f>'Rebeca Ortiz'!B47</f>
        <v>Gabriel Palato</v>
      </c>
      <c r="C47" s="12" t="str">
        <f>'Rebeca Ortiz'!C47</f>
        <v>Surtiglass</v>
      </c>
      <c r="D47" s="12" t="str">
        <f>'Rebeca Ortiz'!D47</f>
        <v/>
      </c>
      <c r="E47" s="12" t="str">
        <f>'Rebeca Ortiz'!E47</f>
        <v>SFV</v>
      </c>
      <c r="F47" s="108" t="str">
        <f>'Rebeca Ortiz'!F47</f>
        <v>1. Prospección</v>
      </c>
      <c r="G47" s="48">
        <f>'Rebeca Ortiz'!G47</f>
        <v>45889</v>
      </c>
      <c r="H47" s="49" t="str">
        <f>'Rebeca Ortiz'!H47</f>
        <v/>
      </c>
      <c r="I47" s="21" t="str">
        <f>'Rebeca Ortiz'!I47</f>
        <v/>
      </c>
      <c r="J47" s="108" t="str">
        <f>'Rebeca Ortiz'!J47</f>
        <v>Visita en Frío (Prospección)</v>
      </c>
      <c r="K47" s="12" t="str">
        <f>'Rebeca Ortiz'!K47</f>
        <v>Rebeca Ortiz</v>
      </c>
    </row>
    <row r="48" ht="22.5" customHeight="1">
      <c r="A48" s="107" t="str">
        <f>'Rebeca Ortiz'!A48</f>
        <v>PSP48</v>
      </c>
      <c r="B48" s="12" t="str">
        <f>'Rebeca Ortiz'!B48</f>
        <v>Compras</v>
      </c>
      <c r="C48" s="12" t="str">
        <f>'Rebeca Ortiz'!C48</f>
        <v>Roki Mexico </v>
      </c>
      <c r="D48" s="12" t="str">
        <f>'Rebeca Ortiz'!D48</f>
        <v/>
      </c>
      <c r="E48" s="12" t="str">
        <f>'Rebeca Ortiz'!E48</f>
        <v>SFV</v>
      </c>
      <c r="F48" s="108" t="str">
        <f>'Rebeca Ortiz'!F48</f>
        <v>1. Prospección</v>
      </c>
      <c r="G48" s="48">
        <f>'Rebeca Ortiz'!G48</f>
        <v>45932</v>
      </c>
      <c r="H48" s="49" t="str">
        <f>'Rebeca Ortiz'!H48</f>
        <v/>
      </c>
      <c r="I48" s="21" t="str">
        <f>'Rebeca Ortiz'!I48</f>
        <v/>
      </c>
      <c r="J48" s="108" t="str">
        <f>'Rebeca Ortiz'!J48</f>
        <v>Visita en Frío (Prospección)</v>
      </c>
      <c r="K48" s="12" t="str">
        <f>'Rebeca Ortiz'!K48</f>
        <v>Rebeca Ortiz</v>
      </c>
    </row>
    <row r="49" ht="22.5" customHeight="1">
      <c r="A49" s="107" t="str">
        <f>'Rebeca Ortiz'!A49</f>
        <v>PSP49</v>
      </c>
      <c r="B49" s="12" t="str">
        <f>'Rebeca Ortiz'!B49</f>
        <v>Lucia Guerrero</v>
      </c>
      <c r="C49" s="12" t="str">
        <f>'Rebeca Ortiz'!C49</f>
        <v>AKG LAGOS</v>
      </c>
      <c r="D49" s="12" t="str">
        <f>'Rebeca Ortiz'!D49</f>
        <v/>
      </c>
      <c r="E49" s="12" t="str">
        <f>'Rebeca Ortiz'!E49</f>
        <v>SFV</v>
      </c>
      <c r="F49" s="108" t="str">
        <f>'Rebeca Ortiz'!F49</f>
        <v>1. Prospección</v>
      </c>
      <c r="G49" s="48">
        <f>'Rebeca Ortiz'!G49</f>
        <v>45936</v>
      </c>
      <c r="H49" s="49" t="str">
        <f>'Rebeca Ortiz'!H49</f>
        <v/>
      </c>
      <c r="I49" s="21" t="str">
        <f>'Rebeca Ortiz'!I49</f>
        <v/>
      </c>
      <c r="J49" s="108" t="str">
        <f>'Rebeca Ortiz'!J49</f>
        <v>Visita en Frío (Prospección)</v>
      </c>
      <c r="K49" s="12" t="str">
        <f>'Rebeca Ortiz'!K49</f>
        <v>Rebeca Ortiz</v>
      </c>
    </row>
    <row r="50" ht="22.5" customHeight="1">
      <c r="A50" s="107" t="str">
        <f>'Rebeca Ortiz'!A50</f>
        <v>PSP50</v>
      </c>
      <c r="B50" s="12" t="str">
        <f>'Rebeca Ortiz'!B50</f>
        <v>Eduardo</v>
      </c>
      <c r="C50" s="12" t="str">
        <f>'Rebeca Ortiz'!C50</f>
        <v>Xin Point Mexico</v>
      </c>
      <c r="D50" s="12" t="str">
        <f>'Rebeca Ortiz'!D50</f>
        <v/>
      </c>
      <c r="E50" s="12" t="str">
        <f>'Rebeca Ortiz'!E50</f>
        <v>SFV</v>
      </c>
      <c r="F50" s="108" t="str">
        <f>'Rebeca Ortiz'!F50</f>
        <v>1. Prospección</v>
      </c>
      <c r="G50" s="48">
        <f>'Rebeca Ortiz'!G50</f>
        <v>45936</v>
      </c>
      <c r="H50" s="49" t="str">
        <f>'Rebeca Ortiz'!H50</f>
        <v/>
      </c>
      <c r="I50" s="21" t="str">
        <f>'Rebeca Ortiz'!I50</f>
        <v/>
      </c>
      <c r="J50" s="108" t="str">
        <f>'Rebeca Ortiz'!J50</f>
        <v>Visita en Frío (Prospección)</v>
      </c>
      <c r="K50" s="12" t="str">
        <f>'Rebeca Ortiz'!K50</f>
        <v>Rebeca Ortiz</v>
      </c>
    </row>
    <row r="51" ht="22.5" customHeight="1">
      <c r="A51" s="107" t="str">
        <f>'Rebeca Ortiz'!A51</f>
        <v>PSP51</v>
      </c>
      <c r="B51" s="12" t="str">
        <f>'Rebeca Ortiz'!B51</f>
        <v>Anahi Olguin</v>
      </c>
      <c r="C51" s="12" t="str">
        <f>'Rebeca Ortiz'!C51</f>
        <v>Hafele </v>
      </c>
      <c r="D51" s="12" t="str">
        <f>'Rebeca Ortiz'!D51</f>
        <v/>
      </c>
      <c r="E51" s="12" t="str">
        <f>'Rebeca Ortiz'!E51</f>
        <v>SFV</v>
      </c>
      <c r="F51" s="108" t="str">
        <f>'Rebeca Ortiz'!F51</f>
        <v>1. Prospección</v>
      </c>
      <c r="G51" s="48">
        <f>'Rebeca Ortiz'!G51</f>
        <v>45936</v>
      </c>
      <c r="H51" s="49" t="str">
        <f>'Rebeca Ortiz'!H51</f>
        <v/>
      </c>
      <c r="I51" s="21" t="str">
        <f>'Rebeca Ortiz'!I51</f>
        <v/>
      </c>
      <c r="J51" s="108" t="str">
        <f>'Rebeca Ortiz'!J51</f>
        <v>Visita en Frío (Prospección)</v>
      </c>
      <c r="K51" s="12" t="str">
        <f>'Rebeca Ortiz'!K51</f>
        <v>Rebeca Ortiz</v>
      </c>
    </row>
    <row r="52" ht="22.5" customHeight="1">
      <c r="A52" s="107" t="str">
        <f>'Rebeca Ortiz'!A52</f>
        <v>PSP52</v>
      </c>
      <c r="B52" s="12" t="str">
        <f>'Rebeca Ortiz'!B52</f>
        <v>Kenia Marquez</v>
      </c>
      <c r="C52" s="12" t="str">
        <f>'Rebeca Ortiz'!C52</f>
        <v>Koppert </v>
      </c>
      <c r="D52" s="12" t="str">
        <f>'Rebeca Ortiz'!D52</f>
        <v/>
      </c>
      <c r="E52" s="12" t="str">
        <f>'Rebeca Ortiz'!E52</f>
        <v>SFV</v>
      </c>
      <c r="F52" s="108" t="str">
        <f>'Rebeca Ortiz'!F52</f>
        <v>1. Prospección</v>
      </c>
      <c r="G52" s="48">
        <f>'Rebeca Ortiz'!G52</f>
        <v>45936</v>
      </c>
      <c r="H52" s="49" t="str">
        <f>'Rebeca Ortiz'!H52</f>
        <v/>
      </c>
      <c r="I52" s="21" t="str">
        <f>'Rebeca Ortiz'!I52</f>
        <v/>
      </c>
      <c r="J52" s="108" t="str">
        <f>'Rebeca Ortiz'!J52</f>
        <v>Visita en Frío (Prospección)</v>
      </c>
      <c r="K52" s="12" t="str">
        <f>'Rebeca Ortiz'!K52</f>
        <v>Rebeca Ortiz</v>
      </c>
    </row>
    <row r="53" ht="22.5" customHeight="1">
      <c r="A53" s="107" t="str">
        <f>'Rebeca Ortiz'!A53</f>
        <v>PSP53</v>
      </c>
      <c r="B53" s="12" t="str">
        <f>'Rebeca Ortiz'!B53</f>
        <v>Jose Alfonso Gomez</v>
      </c>
      <c r="C53" s="12" t="str">
        <f>'Rebeca Ortiz'!C53</f>
        <v>DME</v>
      </c>
      <c r="D53" s="12" t="str">
        <f>'Rebeca Ortiz'!D53</f>
        <v/>
      </c>
      <c r="E53" s="12" t="str">
        <f>'Rebeca Ortiz'!E53</f>
        <v>SFV</v>
      </c>
      <c r="F53" s="108" t="str">
        <f>'Rebeca Ortiz'!F53</f>
        <v>1. Prospección</v>
      </c>
      <c r="G53" s="48">
        <f>'Rebeca Ortiz'!G53</f>
        <v>45939</v>
      </c>
      <c r="H53" s="49" t="str">
        <f>'Rebeca Ortiz'!H53</f>
        <v/>
      </c>
      <c r="I53" s="21" t="str">
        <f>'Rebeca Ortiz'!I53</f>
        <v/>
      </c>
      <c r="J53" s="108" t="str">
        <f>'Rebeca Ortiz'!J53</f>
        <v>Visita en Frío (Prospección)</v>
      </c>
      <c r="K53" s="12" t="str">
        <f>'Rebeca Ortiz'!K53</f>
        <v>Rebeca Ortiz</v>
      </c>
    </row>
    <row r="54" ht="22.5" customHeight="1">
      <c r="A54" s="107" t="str">
        <f>'Rebeca Ortiz'!A54</f>
        <v>PSP54</v>
      </c>
      <c r="B54" s="12" t="str">
        <f>'Rebeca Ortiz'!B54</f>
        <v>DanieL Ojeda</v>
      </c>
      <c r="C54" s="12" t="str">
        <f>'Rebeca Ortiz'!C54</f>
        <v>Century Mold</v>
      </c>
      <c r="D54" s="12" t="str">
        <f>'Rebeca Ortiz'!D54</f>
        <v/>
      </c>
      <c r="E54" s="12" t="str">
        <f>'Rebeca Ortiz'!E54</f>
        <v>SFV</v>
      </c>
      <c r="F54" s="108" t="str">
        <f>'Rebeca Ortiz'!F54</f>
        <v>1. Prospección</v>
      </c>
      <c r="G54" s="48">
        <f>'Rebeca Ortiz'!G54</f>
        <v>45939</v>
      </c>
      <c r="H54" s="49" t="str">
        <f>'Rebeca Ortiz'!H54</f>
        <v/>
      </c>
      <c r="I54" s="21" t="str">
        <f>'Rebeca Ortiz'!I54</f>
        <v/>
      </c>
      <c r="J54" s="108" t="str">
        <f>'Rebeca Ortiz'!J54</f>
        <v>Visita en Frío (Prospección)</v>
      </c>
      <c r="K54" s="12" t="str">
        <f>'Rebeca Ortiz'!K54</f>
        <v>Rebeca Ortiz</v>
      </c>
    </row>
    <row r="55" ht="22.5" customHeight="1">
      <c r="A55" s="107" t="str">
        <f>'Rebeca Ortiz'!A55</f>
        <v>PSP55</v>
      </c>
      <c r="B55" s="12" t="str">
        <f>'Rebeca Ortiz'!B55</f>
        <v>Jesus Mixtega</v>
      </c>
      <c r="C55" s="12" t="str">
        <f>'Rebeca Ortiz'!C55</f>
        <v>Optoflux</v>
      </c>
      <c r="D55" s="12" t="str">
        <f>'Rebeca Ortiz'!D55</f>
        <v/>
      </c>
      <c r="E55" s="12" t="str">
        <f>'Rebeca Ortiz'!E55</f>
        <v>SFV</v>
      </c>
      <c r="F55" s="108" t="str">
        <f>'Rebeca Ortiz'!F55</f>
        <v>1. Prospección</v>
      </c>
      <c r="G55" s="48">
        <f>'Rebeca Ortiz'!G55</f>
        <v>45939</v>
      </c>
      <c r="H55" s="49" t="str">
        <f>'Rebeca Ortiz'!H55</f>
        <v/>
      </c>
      <c r="I55" s="21" t="str">
        <f>'Rebeca Ortiz'!I55</f>
        <v/>
      </c>
      <c r="J55" s="108" t="str">
        <f>'Rebeca Ortiz'!J55</f>
        <v>Visita en Frío (Prospección)</v>
      </c>
      <c r="K55" s="12" t="str">
        <f>'Rebeca Ortiz'!K55</f>
        <v>Rebeca Ortiz</v>
      </c>
    </row>
    <row r="56" ht="22.5" customHeight="1">
      <c r="A56" s="107" t="str">
        <f>'Rebeca Ortiz'!A56</f>
        <v>PSP56</v>
      </c>
      <c r="B56" s="12" t="str">
        <f>'Rebeca Ortiz'!B56</f>
        <v>Jorge Gonzalez</v>
      </c>
      <c r="C56" s="12" t="str">
        <f>'Rebeca Ortiz'!C56</f>
        <v>Marquardt</v>
      </c>
      <c r="D56" s="12" t="str">
        <f>'Rebeca Ortiz'!D56</f>
        <v/>
      </c>
      <c r="E56" s="12" t="str">
        <f>'Rebeca Ortiz'!E56</f>
        <v>SFV</v>
      </c>
      <c r="F56" s="108" t="str">
        <f>'Rebeca Ortiz'!F56</f>
        <v>1. Prospección</v>
      </c>
      <c r="G56" s="48">
        <f>'Rebeca Ortiz'!G56</f>
        <v>45670</v>
      </c>
      <c r="H56" s="49" t="str">
        <f>'Rebeca Ortiz'!H56</f>
        <v/>
      </c>
      <c r="I56" s="21" t="str">
        <f>'Rebeca Ortiz'!I56</f>
        <v/>
      </c>
      <c r="J56" s="108" t="str">
        <f>'Rebeca Ortiz'!J56</f>
        <v>Visita en Frío (Prospección)</v>
      </c>
      <c r="K56" s="12" t="str">
        <f>'Rebeca Ortiz'!K56</f>
        <v>Rebeca Ortiz</v>
      </c>
    </row>
    <row r="57" ht="22.5" customHeight="1">
      <c r="A57" s="107" t="str">
        <f>'Rebeca Ortiz'!A57</f>
        <v>PSP57</v>
      </c>
      <c r="B57" s="12" t="str">
        <f>'Rebeca Ortiz'!B57</f>
        <v>Lic. Carlos Herandez </v>
      </c>
      <c r="C57" s="12" t="str">
        <f>'Rebeca Ortiz'!C57</f>
        <v>TST MANUFACTURING DE MEXICO</v>
      </c>
      <c r="D57" s="12" t="str">
        <f>'Rebeca Ortiz'!D57</f>
        <v/>
      </c>
      <c r="E57" s="12" t="str">
        <f>'Rebeca Ortiz'!E57</f>
        <v>SFV</v>
      </c>
      <c r="F57" s="108" t="str">
        <f>'Rebeca Ortiz'!F57</f>
        <v>1. Prospección</v>
      </c>
      <c r="G57" s="48">
        <f>'Rebeca Ortiz'!G57</f>
        <v>45670</v>
      </c>
      <c r="H57" s="49" t="str">
        <f>'Rebeca Ortiz'!H57</f>
        <v/>
      </c>
      <c r="I57" s="21" t="str">
        <f>'Rebeca Ortiz'!I57</f>
        <v/>
      </c>
      <c r="J57" s="108" t="str">
        <f>'Rebeca Ortiz'!J57</f>
        <v>Visita en Frío (Prospección)</v>
      </c>
      <c r="K57" s="12" t="str">
        <f>'Rebeca Ortiz'!K57</f>
        <v>Rebeca Ortiz</v>
      </c>
    </row>
    <row r="58" ht="22.5" customHeight="1">
      <c r="A58" s="107" t="str">
        <f>'Rebeca Ortiz'!A58</f>
        <v>PSP58</v>
      </c>
      <c r="B58" s="12" t="str">
        <f>'Rebeca Ortiz'!B58</f>
        <v>Antonio Serrano </v>
      </c>
      <c r="C58" s="12" t="str">
        <f>'Rebeca Ortiz'!C58</f>
        <v>Restaurante Doña Lucha</v>
      </c>
      <c r="D58" s="12" t="str">
        <f>'Rebeca Ortiz'!D58</f>
        <v/>
      </c>
      <c r="E58" s="12" t="str">
        <f>'Rebeca Ortiz'!E58</f>
        <v>SFV</v>
      </c>
      <c r="F58" s="108" t="str">
        <f>'Rebeca Ortiz'!F58</f>
        <v>1. Prospección</v>
      </c>
      <c r="G58" s="48">
        <f>'Rebeca Ortiz'!G58</f>
        <v>45685</v>
      </c>
      <c r="H58" s="49" t="str">
        <f>'Rebeca Ortiz'!H58</f>
        <v/>
      </c>
      <c r="I58" s="21" t="str">
        <f>'Rebeca Ortiz'!I58</f>
        <v/>
      </c>
      <c r="J58" s="108" t="str">
        <f>'Rebeca Ortiz'!J58</f>
        <v>Visita en Frío (Prospección)</v>
      </c>
      <c r="K58" s="12" t="str">
        <f>'Rebeca Ortiz'!K58</f>
        <v>Rebeca Ortiz</v>
      </c>
    </row>
    <row r="59" ht="22.5" customHeight="1">
      <c r="A59" s="107" t="str">
        <f>'Rebeca Ortiz'!A59</f>
        <v>PSP59</v>
      </c>
      <c r="B59" s="12" t="str">
        <f>'Rebeca Ortiz'!B59</f>
        <v>Daniela</v>
      </c>
      <c r="C59" s="12" t="str">
        <f>'Rebeca Ortiz'!C59</f>
        <v>Formula TR</v>
      </c>
      <c r="D59" s="12" t="str">
        <f>'Rebeca Ortiz'!D59</f>
        <v/>
      </c>
      <c r="E59" s="12" t="str">
        <f>'Rebeca Ortiz'!E59</f>
        <v>SFV</v>
      </c>
      <c r="F59" s="108" t="str">
        <f>'Rebeca Ortiz'!F59</f>
        <v>1. Prospección</v>
      </c>
      <c r="G59" s="48">
        <f>'Rebeca Ortiz'!G59</f>
        <v>46050</v>
      </c>
      <c r="H59" s="49" t="str">
        <f>'Rebeca Ortiz'!H59</f>
        <v/>
      </c>
      <c r="I59" s="21" t="str">
        <f>'Rebeca Ortiz'!I59</f>
        <v/>
      </c>
      <c r="J59" s="108" t="str">
        <f>'Rebeca Ortiz'!J59</f>
        <v>Visita en Frío (Prospección)</v>
      </c>
      <c r="K59" s="12" t="str">
        <f>'Rebeca Ortiz'!K59</f>
        <v>Rebeca Ortiz</v>
      </c>
    </row>
    <row r="60" ht="22.5" customHeight="1">
      <c r="A60" s="107" t="str">
        <f>'Rebeca Ortiz'!A60</f>
        <v>PSP60</v>
      </c>
      <c r="B60" s="12" t="str">
        <f>'Rebeca Ortiz'!B60</f>
        <v>Contadora Daniela</v>
      </c>
      <c r="C60" s="12" t="str">
        <f>'Rebeca Ortiz'!C60</f>
        <v>Curtec</v>
      </c>
      <c r="D60" s="12" t="str">
        <f>'Rebeca Ortiz'!D60</f>
        <v/>
      </c>
      <c r="E60" s="12" t="str">
        <f>'Rebeca Ortiz'!E60</f>
        <v>SFV</v>
      </c>
      <c r="F60" s="108" t="str">
        <f>'Rebeca Ortiz'!F60</f>
        <v>1. Prospección</v>
      </c>
      <c r="G60" s="48">
        <f>'Rebeca Ortiz'!G60</f>
        <v>45803</v>
      </c>
      <c r="H60" s="49" t="str">
        <f>'Rebeca Ortiz'!H60</f>
        <v/>
      </c>
      <c r="I60" s="21" t="str">
        <f>'Rebeca Ortiz'!I60</f>
        <v/>
      </c>
      <c r="J60" s="108" t="str">
        <f>'Rebeca Ortiz'!J60</f>
        <v>Visita en Frío (Prospección)</v>
      </c>
      <c r="K60" s="12" t="str">
        <f>'Rebeca Ortiz'!K60</f>
        <v>Rebeca Ortiz</v>
      </c>
    </row>
    <row r="61" ht="22.5" customHeight="1">
      <c r="A61" s="107" t="str">
        <f>'Rebeca Ortiz'!A61</f>
        <v>PSP61</v>
      </c>
      <c r="B61" s="12" t="str">
        <f>'Rebeca Ortiz'!B61</f>
        <v>Roberto Vazquez</v>
      </c>
      <c r="C61" s="12" t="str">
        <f>'Rebeca Ortiz'!C61</f>
        <v>Comercial</v>
      </c>
      <c r="D61" s="12" t="str">
        <f>'Rebeca Ortiz'!D61</f>
        <v/>
      </c>
      <c r="E61" s="12" t="str">
        <f>'Rebeca Ortiz'!E61</f>
        <v>SFV</v>
      </c>
      <c r="F61" s="108" t="str">
        <f>'Rebeca Ortiz'!F61</f>
        <v>1. Prospección</v>
      </c>
      <c r="G61" s="48">
        <f>'Rebeca Ortiz'!G61</f>
        <v>46008</v>
      </c>
      <c r="H61" s="49" t="str">
        <f>'Rebeca Ortiz'!H61</f>
        <v/>
      </c>
      <c r="I61" s="21" t="str">
        <f>'Rebeca Ortiz'!I61</f>
        <v/>
      </c>
      <c r="J61" s="108" t="str">
        <f>'Rebeca Ortiz'!J61</f>
        <v>Visita en Frío (Prospección)</v>
      </c>
      <c r="K61" s="12" t="str">
        <f>'Rebeca Ortiz'!K61</f>
        <v>Rebeca Ortiz</v>
      </c>
    </row>
    <row r="62" ht="22.5" customHeight="1">
      <c r="A62" s="107" t="str">
        <f>'Marco Flores'!A2</f>
        <v>PSP13</v>
      </c>
      <c r="B62" s="111" t="str">
        <f>'Marco Flores'!B2</f>
        <v>Ricardo Navarrete Garnica</v>
      </c>
      <c r="C62" s="12" t="str">
        <f>'Marco Flores'!C2</f>
        <v>Bright Packaging</v>
      </c>
      <c r="D62" s="12" t="str">
        <f>'Marco Flores'!D2</f>
        <v/>
      </c>
      <c r="E62" s="12" t="str">
        <f>'Marco Flores'!E2</f>
        <v/>
      </c>
      <c r="F62" s="108" t="str">
        <f>'Marco Flores'!F2</f>
        <v>7. Estimación / Cotización</v>
      </c>
      <c r="G62" s="48">
        <f>'Marco Flores'!G2</f>
        <v>46003</v>
      </c>
      <c r="H62" s="49">
        <f>'Marco Flores'!H2</f>
        <v>434687.97</v>
      </c>
      <c r="I62" s="21" t="str">
        <f>'Marco Flores'!I2</f>
        <v/>
      </c>
      <c r="J62" s="108" t="str">
        <f>'Marco Flores'!J2</f>
        <v>Llamada en Frío (Prospección)</v>
      </c>
      <c r="K62" s="12" t="str">
        <f>'Marco Flores'!K2</f>
        <v>Marco Flores</v>
      </c>
    </row>
    <row r="63" ht="22.5" customHeight="1">
      <c r="A63" s="107" t="str">
        <f>'Marco Flores'!A3</f>
        <v>PSP14</v>
      </c>
      <c r="B63" s="111" t="str">
        <f>'Marco Flores'!B3</f>
        <v>Pablo Reydezel Covarrubias</v>
      </c>
      <c r="C63" s="12" t="str">
        <f>'Marco Flores'!C3</f>
        <v>Lear</v>
      </c>
      <c r="D63" s="12" t="str">
        <f>'Marco Flores'!D3</f>
        <v/>
      </c>
      <c r="E63" s="12" t="str">
        <f>'Marco Flores'!E3</f>
        <v/>
      </c>
      <c r="F63" s="108" t="str">
        <f>'Marco Flores'!F3</f>
        <v>3. Calificación</v>
      </c>
      <c r="G63" s="48">
        <f>'Marco Flores'!G3</f>
        <v>45951</v>
      </c>
      <c r="H63" s="49">
        <f>'Marco Flores'!H3</f>
        <v>380000</v>
      </c>
      <c r="I63" s="21" t="str">
        <f>'Marco Flores'!I3</f>
        <v/>
      </c>
      <c r="J63" s="108" t="str">
        <f>'Marco Flores'!J3</f>
        <v>LinkedIn (Orgánico)</v>
      </c>
      <c r="K63" s="12" t="str">
        <f>'Marco Flores'!K3</f>
        <v>Marco Flores</v>
      </c>
    </row>
    <row r="64" ht="22.5" customHeight="1">
      <c r="A64" s="107" t="str">
        <f>'Marco Flores'!A4</f>
        <v>PSP15</v>
      </c>
      <c r="B64" s="111" t="str">
        <f>'Marco Flores'!B4</f>
        <v>OMAR SAUCEDO BRIONES</v>
      </c>
      <c r="C64" s="12" t="str">
        <f>'Marco Flores'!C4</f>
        <v>FlexnGate</v>
      </c>
      <c r="D64" s="12" t="str">
        <f>'Marco Flores'!D4</f>
        <v/>
      </c>
      <c r="E64" s="12" t="str">
        <f>'Marco Flores'!E4</f>
        <v/>
      </c>
      <c r="F64" s="108" t="str">
        <f>'Marco Flores'!F4</f>
        <v>3. Calificación</v>
      </c>
      <c r="G64" s="48">
        <f>'Marco Flores'!G4</f>
        <v>45951</v>
      </c>
      <c r="H64" s="49">
        <f>'Marco Flores'!H4</f>
        <v>280000</v>
      </c>
      <c r="I64" s="21" t="str">
        <f>'Marco Flores'!I4</f>
        <v/>
      </c>
      <c r="J64" s="108" t="str">
        <f>'Marco Flores'!J4</f>
        <v>Llamada en Frío (Prospección)</v>
      </c>
      <c r="K64" s="12" t="str">
        <f>'Marco Flores'!K4</f>
        <v>Marco Flores</v>
      </c>
    </row>
    <row r="65" ht="22.5" customHeight="1">
      <c r="A65" s="107" t="str">
        <f>'Marco Flores'!A5</f>
        <v>PSP16</v>
      </c>
      <c r="B65" s="111" t="str">
        <f>'Marco Flores'!B5</f>
        <v>Javier Aragón Cano</v>
      </c>
      <c r="C65" s="12" t="str">
        <f>'Marco Flores'!C5</f>
        <v>Interceramic</v>
      </c>
      <c r="D65" s="12" t="str">
        <f>'Marco Flores'!D5</f>
        <v/>
      </c>
      <c r="E65" s="12" t="str">
        <f>'Marco Flores'!E5</f>
        <v/>
      </c>
      <c r="F65" s="108" t="str">
        <f>'Marco Flores'!F5</f>
        <v>3. Calificación</v>
      </c>
      <c r="G65" s="48">
        <f>'Marco Flores'!G5</f>
        <v>45954</v>
      </c>
      <c r="H65" s="49">
        <f>'Marco Flores'!H5</f>
        <v>380000</v>
      </c>
      <c r="I65" s="21" t="str">
        <f>'Marco Flores'!I5</f>
        <v/>
      </c>
      <c r="J65" s="108" t="str">
        <f>'Marco Flores'!J5</f>
        <v>Email Outbound (Prospección)</v>
      </c>
      <c r="K65" s="12" t="str">
        <f>'Marco Flores'!K5</f>
        <v>Marco Flores</v>
      </c>
    </row>
    <row r="66" ht="22.5" customHeight="1">
      <c r="A66" s="107" t="str">
        <f>'Marco Flores'!A6</f>
        <v>PSP17</v>
      </c>
      <c r="B66" s="111" t="str">
        <f>'Marco Flores'!B6</f>
        <v>Emigdio Gonzalez</v>
      </c>
      <c r="C66" s="12" t="str">
        <f>'Marco Flores'!C6</f>
        <v>Thor quimicos</v>
      </c>
      <c r="D66" s="12" t="str">
        <f>'Marco Flores'!D6</f>
        <v/>
      </c>
      <c r="E66" s="12" t="str">
        <f>'Marco Flores'!E6</f>
        <v/>
      </c>
      <c r="F66" s="108" t="str">
        <f>'Marco Flores'!F6</f>
        <v>3. Calificación</v>
      </c>
      <c r="G66" s="48">
        <f>'Marco Flores'!G6</f>
        <v>45897</v>
      </c>
      <c r="H66" s="49">
        <f>'Marco Flores'!H6</f>
        <v>130000</v>
      </c>
      <c r="I66" s="21" t="str">
        <f>'Marco Flores'!I6</f>
        <v/>
      </c>
      <c r="J66" s="108" t="str">
        <f>'Marco Flores'!J6</f>
        <v>LinkedIn (Orgánico)</v>
      </c>
      <c r="K66" s="12" t="str">
        <f>'Marco Flores'!K6</f>
        <v>Marco Flores</v>
      </c>
    </row>
    <row r="67" ht="22.5" customHeight="1">
      <c r="A67" s="107" t="str">
        <f>'Marco Flores'!A7</f>
        <v>PSP18</v>
      </c>
      <c r="B67" s="111" t="str">
        <f>'Marco Flores'!B7</f>
        <v>Cliserio Mayen Ciriaco</v>
      </c>
      <c r="C67" s="12" t="str">
        <f>'Marco Flores'!C7</f>
        <v>Grupo Bimbo</v>
      </c>
      <c r="D67" s="12" t="str">
        <f>'Marco Flores'!D7</f>
        <v/>
      </c>
      <c r="E67" s="12" t="str">
        <f>'Marco Flores'!E7</f>
        <v/>
      </c>
      <c r="F67" s="108" t="str">
        <f>'Marco Flores'!F7</f>
        <v>2. Contacto Inicial</v>
      </c>
      <c r="G67" s="48" t="str">
        <f>'Marco Flores'!G7</f>
        <v/>
      </c>
      <c r="H67" s="49">
        <f>'Marco Flores'!H7</f>
        <v>380000</v>
      </c>
      <c r="I67" s="21" t="str">
        <f>'Marco Flores'!I7</f>
        <v/>
      </c>
      <c r="J67" s="108" t="str">
        <f>'Marco Flores'!J7</f>
        <v>Llamada en Frío (Prospección)</v>
      </c>
      <c r="K67" s="12" t="str">
        <f>'Marco Flores'!K7</f>
        <v>Marco Flores</v>
      </c>
    </row>
    <row r="68" ht="22.5" customHeight="1">
      <c r="A68" s="107" t="str">
        <f>'Marco Flores'!A8</f>
        <v>PSP19</v>
      </c>
      <c r="B68" s="111" t="str">
        <f>'Marco Flores'!B8</f>
        <v>Marco Martínez</v>
      </c>
      <c r="C68" s="12" t="str">
        <f>'Marco Flores'!C8</f>
        <v>Covestro</v>
      </c>
      <c r="D68" s="12" t="str">
        <f>'Marco Flores'!D8</f>
        <v/>
      </c>
      <c r="E68" s="12" t="str">
        <f>'Marco Flores'!E8</f>
        <v/>
      </c>
      <c r="F68" s="108" t="str">
        <f>'Marco Flores'!F8</f>
        <v>2. Contacto Inicial</v>
      </c>
      <c r="G68" s="48">
        <f>'Marco Flores'!G8</f>
        <v>45989</v>
      </c>
      <c r="H68" s="49">
        <f>'Marco Flores'!H8</f>
        <v>380000</v>
      </c>
      <c r="I68" s="21" t="str">
        <f>'Marco Flores'!I8</f>
        <v/>
      </c>
      <c r="J68" s="108" t="str">
        <f>'Marco Flores'!J8</f>
        <v>LinkedIn (Orgánico)</v>
      </c>
      <c r="K68" s="12" t="str">
        <f>'Marco Flores'!K8</f>
        <v>Marco Flores</v>
      </c>
    </row>
    <row r="69" ht="22.5" customHeight="1">
      <c r="A69" s="107" t="str">
        <f>'Marco Flores'!A9</f>
        <v>PSP20</v>
      </c>
      <c r="B69" s="111" t="str">
        <f>'Marco Flores'!B9</f>
        <v>Pamela Sarahí Mendoza Clavijo</v>
      </c>
      <c r="C69" s="12" t="str">
        <f>'Marco Flores'!C9</f>
        <v>Emulsificantes agricolas</v>
      </c>
      <c r="D69" s="12" t="str">
        <f>'Marco Flores'!D9</f>
        <v/>
      </c>
      <c r="E69" s="12" t="str">
        <f>'Marco Flores'!E9</f>
        <v/>
      </c>
      <c r="F69" s="108" t="str">
        <f>'Marco Flores'!F9</f>
        <v>2. Contacto Inicial</v>
      </c>
      <c r="G69" s="48">
        <f>'Marco Flores'!G9</f>
        <v>45989</v>
      </c>
      <c r="H69" s="49">
        <f>'Marco Flores'!H9</f>
        <v>150000</v>
      </c>
      <c r="I69" s="21" t="str">
        <f>'Marco Flores'!I9</f>
        <v/>
      </c>
      <c r="J69" s="108" t="str">
        <f>'Marco Flores'!J9</f>
        <v>LinkedIn (Orgánico)</v>
      </c>
      <c r="K69" s="12" t="str">
        <f>'Marco Flores'!K9</f>
        <v>Marco Flores</v>
      </c>
    </row>
    <row r="70" ht="22.5" customHeight="1">
      <c r="A70" s="107" t="str">
        <f>'Marco Flores'!A10</f>
        <v>PSP21</v>
      </c>
      <c r="B70" s="12" t="str">
        <f>'Marco Flores'!B10</f>
        <v>Ing. Jesus Martinez</v>
      </c>
      <c r="C70" s="12" t="str">
        <f>'Marco Flores'!C10</f>
        <v>Futumedical</v>
      </c>
      <c r="D70" s="12" t="str">
        <f>'Marco Flores'!D10</f>
        <v/>
      </c>
      <c r="E70" s="12" t="str">
        <f>'Marco Flores'!E10</f>
        <v/>
      </c>
      <c r="F70" s="108" t="str">
        <f>'Marco Flores'!F10</f>
        <v>2. Contacto Inicial</v>
      </c>
      <c r="G70" s="48">
        <f>'Marco Flores'!G10</f>
        <v>46361</v>
      </c>
      <c r="H70" s="49">
        <f>'Marco Flores'!H10</f>
        <v>150000</v>
      </c>
      <c r="I70" s="21" t="str">
        <f>'Marco Flores'!I10</f>
        <v/>
      </c>
      <c r="J70" s="108" t="str">
        <f>'Marco Flores'!J10</f>
        <v>Llamada en Frío (Prospección)</v>
      </c>
      <c r="K70" s="12" t="str">
        <f>'Marco Flores'!K10</f>
        <v>Marco Flores</v>
      </c>
    </row>
    <row r="71" ht="22.5" customHeight="1">
      <c r="A71" s="107" t="str">
        <f t="shared" ref="A71:K71" si="1">#REF!</f>
        <v>#REF!</v>
      </c>
      <c r="B71" s="12" t="str">
        <f t="shared" si="1"/>
        <v>#REF!</v>
      </c>
      <c r="C71" s="12" t="str">
        <f t="shared" si="1"/>
        <v>#REF!</v>
      </c>
      <c r="D71" s="12" t="str">
        <f t="shared" si="1"/>
        <v>#REF!</v>
      </c>
      <c r="E71" s="12" t="str">
        <f t="shared" si="1"/>
        <v>#REF!</v>
      </c>
      <c r="F71" s="108" t="str">
        <f t="shared" si="1"/>
        <v>#REF!</v>
      </c>
      <c r="G71" s="48" t="str">
        <f t="shared" si="1"/>
        <v>#REF!</v>
      </c>
      <c r="H71" s="49" t="str">
        <f t="shared" si="1"/>
        <v>#REF!</v>
      </c>
      <c r="I71" s="21" t="str">
        <f t="shared" si="1"/>
        <v>#REF!</v>
      </c>
      <c r="J71" s="108" t="str">
        <f t="shared" si="1"/>
        <v>#REF!</v>
      </c>
      <c r="K71" s="12" t="str">
        <f t="shared" si="1"/>
        <v>#REF!</v>
      </c>
    </row>
    <row r="72" ht="22.5" customHeight="1">
      <c r="A72" s="107" t="str">
        <f>'Marco Flores'!A11</f>
        <v>PSP23</v>
      </c>
      <c r="B72" s="111" t="str">
        <f>'Marco Flores'!B11</f>
        <v>Reyes Asael García Rodríguez</v>
      </c>
      <c r="C72" s="12" t="str">
        <f>'Marco Flores'!C11</f>
        <v>Kekén</v>
      </c>
      <c r="D72" s="12" t="str">
        <f>'Marco Flores'!D11</f>
        <v/>
      </c>
      <c r="E72" s="12" t="str">
        <f>'Marco Flores'!E11</f>
        <v/>
      </c>
      <c r="F72" s="108" t="str">
        <f>'Marco Flores'!F11</f>
        <v>2. Contacto Inicial</v>
      </c>
      <c r="G72" s="48">
        <f>'Marco Flores'!G11</f>
        <v>46014</v>
      </c>
      <c r="H72" s="49">
        <f>'Marco Flores'!H11</f>
        <v>380000</v>
      </c>
      <c r="I72" s="21" t="str">
        <f>'Marco Flores'!I11</f>
        <v/>
      </c>
      <c r="J72" s="108" t="str">
        <f>'Marco Flores'!J11</f>
        <v>LinkedIn (Orgánico)</v>
      </c>
      <c r="K72" s="12" t="str">
        <f>'Marco Flores'!K11</f>
        <v>Marco Flores</v>
      </c>
    </row>
    <row r="73" ht="22.5" customHeight="1">
      <c r="A73" s="107" t="str">
        <f>'Marco Flores'!A12</f>
        <v>PSP24</v>
      </c>
      <c r="B73" s="111" t="str">
        <f>'Marco Flores'!B12</f>
        <v>Israel Garcia</v>
      </c>
      <c r="C73" s="12" t="str">
        <f>'Marco Flores'!C12</f>
        <v>The greenbier companies</v>
      </c>
      <c r="D73" s="12" t="str">
        <f>'Marco Flores'!D12</f>
        <v/>
      </c>
      <c r="E73" s="12" t="str">
        <f>'Marco Flores'!E12</f>
        <v/>
      </c>
      <c r="F73" s="108" t="str">
        <f>'Marco Flores'!F12</f>
        <v>14. Descartado / No Califica</v>
      </c>
      <c r="G73" s="48">
        <f>'Marco Flores'!G12</f>
        <v>46020</v>
      </c>
      <c r="H73" s="49">
        <f>'Marco Flores'!H12</f>
        <v>150000</v>
      </c>
      <c r="I73" s="21" t="str">
        <f>'Marco Flores'!I12</f>
        <v/>
      </c>
      <c r="J73" s="108" t="str">
        <f>'Marco Flores'!J12</f>
        <v>LinkedIn (Orgánico)</v>
      </c>
      <c r="K73" s="12" t="str">
        <f>'Marco Flores'!K12</f>
        <v>Marco Flores</v>
      </c>
    </row>
    <row r="74" ht="22.5" customHeight="1">
      <c r="A74" s="107" t="str">
        <f>'Marco Flores'!A13</f>
        <v>PSP25</v>
      </c>
      <c r="B74" s="111" t="str">
        <f>'Marco Flores'!B13</f>
        <v>Romeo Morales Cruz</v>
      </c>
      <c r="C74" s="12" t="str">
        <f>'Marco Flores'!C13</f>
        <v>ATELIER de Hoteles</v>
      </c>
      <c r="D74" s="12" t="str">
        <f>'Marco Flores'!D13</f>
        <v/>
      </c>
      <c r="E74" s="12" t="str">
        <f>'Marco Flores'!E13</f>
        <v/>
      </c>
      <c r="F74" s="108" t="str">
        <f>'Marco Flores'!F13</f>
        <v>2. Contacto Inicial</v>
      </c>
      <c r="G74" s="48">
        <f>'Marco Flores'!G13</f>
        <v>46012</v>
      </c>
      <c r="H74" s="49">
        <f>'Marco Flores'!H13</f>
        <v>100000</v>
      </c>
      <c r="I74" s="21" t="str">
        <f>'Marco Flores'!I13</f>
        <v/>
      </c>
      <c r="J74" s="108" t="str">
        <f>'Marco Flores'!J13</f>
        <v>Llamada en Frío (Prospección)</v>
      </c>
      <c r="K74" s="12" t="str">
        <f>'Marco Flores'!K13</f>
        <v>Marco Flores</v>
      </c>
    </row>
    <row r="75" ht="22.5" customHeight="1">
      <c r="A75" s="107" t="str">
        <f>'Marco Flores'!A14</f>
        <v>PSP26</v>
      </c>
      <c r="B75" s="111" t="str">
        <f>'Marco Flores'!B14</f>
        <v>Alejandro Zavaleta</v>
      </c>
      <c r="C75" s="12" t="str">
        <f>'Marco Flores'!C14</f>
        <v>Plasticos a la medida</v>
      </c>
      <c r="D75" s="12" t="str">
        <f>'Marco Flores'!D14</f>
        <v/>
      </c>
      <c r="E75" s="12" t="str">
        <f>'Marco Flores'!E14</f>
        <v/>
      </c>
      <c r="F75" s="108" t="str">
        <f>'Marco Flores'!F14</f>
        <v>15. En Pausa / Seguimiento Posterior</v>
      </c>
      <c r="G75" s="48" t="str">
        <f>'Marco Flores'!G14</f>
        <v/>
      </c>
      <c r="H75" s="49">
        <f>'Marco Flores'!H14</f>
        <v>150000</v>
      </c>
      <c r="I75" s="21" t="str">
        <f>'Marco Flores'!I14</f>
        <v/>
      </c>
      <c r="J75" s="108" t="str">
        <f>'Marco Flores'!J14</f>
        <v>LinkedIn (Orgánico)</v>
      </c>
      <c r="K75" s="12" t="str">
        <f>'Marco Flores'!K14</f>
        <v>Marco Flores</v>
      </c>
    </row>
    <row r="76" ht="22.5" customHeight="1">
      <c r="A76" s="107" t="str">
        <f>'Marco Flores'!A15</f>
        <v>PSP27</v>
      </c>
      <c r="B76" s="12" t="str">
        <f>'Marco Flores'!B15</f>
        <v>Elfe Camacho</v>
      </c>
      <c r="C76" s="12" t="str">
        <f>'Marco Flores'!C15</f>
        <v>Wildfork</v>
      </c>
      <c r="D76" s="12" t="str">
        <f>'Marco Flores'!D15</f>
        <v/>
      </c>
      <c r="E76" s="12" t="str">
        <f>'Marco Flores'!E15</f>
        <v/>
      </c>
      <c r="F76" s="108" t="str">
        <f>'Marco Flores'!F15</f>
        <v>1. Prospección</v>
      </c>
      <c r="G76" s="48">
        <f>'Marco Flores'!G15</f>
        <v>46027</v>
      </c>
      <c r="H76" s="49">
        <f>'Marco Flores'!H15</f>
        <v>380000</v>
      </c>
      <c r="I76" s="21" t="str">
        <f>'Marco Flores'!I15</f>
        <v/>
      </c>
      <c r="J76" s="108" t="str">
        <f>'Marco Flores'!J15</f>
        <v>LinkedIn (Orgánico)</v>
      </c>
      <c r="K76" s="12" t="str">
        <f>'Marco Flores'!K15</f>
        <v>Marco Flores</v>
      </c>
    </row>
    <row r="77" ht="22.5" customHeight="1">
      <c r="A77" s="107" t="str">
        <f>'Marco Flores'!A16</f>
        <v>PSP28</v>
      </c>
      <c r="B77" s="111" t="str">
        <f>'Marco Flores'!B16</f>
        <v>Miguel Angel Delgado Magaña</v>
      </c>
      <c r="C77" s="12" t="str">
        <f>'Marco Flores'!C16</f>
        <v>Industrial pecuario de los altos</v>
      </c>
      <c r="D77" s="12" t="str">
        <f>'Marco Flores'!D16</f>
        <v/>
      </c>
      <c r="E77" s="12" t="str">
        <f>'Marco Flores'!E16</f>
        <v/>
      </c>
      <c r="F77" s="108" t="str">
        <f>'Marco Flores'!F16</f>
        <v>3. Calificación</v>
      </c>
      <c r="G77" s="48" t="str">
        <f>'Marco Flores'!G16</f>
        <v/>
      </c>
      <c r="H77" s="49">
        <f>'Marco Flores'!H16</f>
        <v>760000</v>
      </c>
      <c r="I77" s="21" t="str">
        <f>'Marco Flores'!I16</f>
        <v/>
      </c>
      <c r="J77" s="108" t="str">
        <f>'Marco Flores'!J16</f>
        <v>Llamada en Frío (Prospección)</v>
      </c>
      <c r="K77" s="12" t="str">
        <f>'Marco Flores'!K16</f>
        <v>Marco Flores</v>
      </c>
    </row>
    <row r="78" ht="22.5" customHeight="1">
      <c r="A78" s="107" t="str">
        <f>'Marco Flores'!A17</f>
        <v>PSP29</v>
      </c>
      <c r="B78" s="12" t="str">
        <f>'Marco Flores'!B17</f>
        <v>Javier Castro</v>
      </c>
      <c r="C78" s="12" t="str">
        <f>'Marco Flores'!C17</f>
        <v>Frugo</v>
      </c>
      <c r="D78" s="12" t="str">
        <f>'Marco Flores'!D17</f>
        <v/>
      </c>
      <c r="E78" s="12" t="str">
        <f>'Marco Flores'!E17</f>
        <v/>
      </c>
      <c r="F78" s="108" t="str">
        <f>'Marco Flores'!F17</f>
        <v>8. Propuesta Enviada</v>
      </c>
      <c r="G78" s="48">
        <f>'Marco Flores'!G17</f>
        <v>45995</v>
      </c>
      <c r="H78" s="49">
        <f>'Marco Flores'!H17</f>
        <v>380000</v>
      </c>
      <c r="I78" s="21" t="str">
        <f>'Marco Flores'!I17</f>
        <v/>
      </c>
      <c r="J78" s="108" t="str">
        <f>'Marco Flores'!J17</f>
        <v>Llamada en Frío (Prospección)</v>
      </c>
      <c r="K78" s="12" t="str">
        <f>'Marco Flores'!K17</f>
        <v>Marco Flores</v>
      </c>
    </row>
    <row r="79" ht="22.5" customHeight="1">
      <c r="A79" s="107" t="str">
        <f>'Marco Flores'!A18</f>
        <v>PSP30</v>
      </c>
      <c r="B79" s="12" t="str">
        <f>'Marco Flores'!B18</f>
        <v>Alejandro Bravo</v>
      </c>
      <c r="C79" s="12" t="str">
        <f>'Marco Flores'!C18</f>
        <v>Grupo Dival (Hooters)</v>
      </c>
      <c r="D79" s="12" t="str">
        <f>'Marco Flores'!D18</f>
        <v/>
      </c>
      <c r="E79" s="12" t="str">
        <f>'Marco Flores'!E18</f>
        <v/>
      </c>
      <c r="F79" s="108" t="str">
        <f>'Marco Flores'!F18</f>
        <v>9. Aclaraciones / Ajustes de Propuesta</v>
      </c>
      <c r="G79" s="48">
        <f>'Marco Flores'!G18</f>
        <v>45931</v>
      </c>
      <c r="H79" s="49">
        <f>'Marco Flores'!H18</f>
        <v>932975.55</v>
      </c>
      <c r="I79" s="21" t="str">
        <f>'Marco Flores'!I18</f>
        <v/>
      </c>
      <c r="J79" s="108" t="str">
        <f>'Marco Flores'!J18</f>
        <v>LinkedIn (Orgánico)</v>
      </c>
      <c r="K79" s="12" t="str">
        <f>'Marco Flores'!K18</f>
        <v>Marco Flores</v>
      </c>
    </row>
    <row r="80" ht="22.5" customHeight="1">
      <c r="A80" s="107" t="str">
        <f>'Marco Flores'!A19</f>
        <v>PSP31</v>
      </c>
      <c r="B80" s="12" t="str">
        <f>'Marco Flores'!B19</f>
        <v>Ing. Enrrique Vega</v>
      </c>
      <c r="C80" s="12" t="str">
        <f>'Marco Flores'!C19</f>
        <v>Best Leather</v>
      </c>
      <c r="D80" s="12" t="str">
        <f>'Marco Flores'!D19</f>
        <v/>
      </c>
      <c r="E80" s="12" t="str">
        <f>'Marco Flores'!E19</f>
        <v/>
      </c>
      <c r="F80" s="108" t="str">
        <f>'Marco Flores'!F19</f>
        <v>11. Aprobación Interna (Go/No-Go)</v>
      </c>
      <c r="G80" s="48" t="str">
        <f>'Marco Flores'!G19</f>
        <v/>
      </c>
      <c r="H80" s="49" t="str">
        <f>'Marco Flores'!H19</f>
        <v/>
      </c>
      <c r="I80" s="21" t="str">
        <f>'Marco Flores'!I19</f>
        <v/>
      </c>
      <c r="J80" s="108" t="str">
        <f>'Marco Flores'!J19</f>
        <v>Visita en Frío (Prospección)</v>
      </c>
      <c r="K80" s="12" t="str">
        <f>'Marco Flores'!K19</f>
        <v>Marco Flores</v>
      </c>
    </row>
    <row r="81" ht="22.5" customHeight="1">
      <c r="A81" s="107" t="str">
        <f>'Marco Flores'!A20</f>
        <v>PSP32</v>
      </c>
      <c r="B81" s="12" t="str">
        <f>'Marco Flores'!B20</f>
        <v>Juan Bocanegra</v>
      </c>
      <c r="C81" s="12" t="str">
        <f>'Marco Flores'!C20</f>
        <v>Envia Flores</v>
      </c>
      <c r="D81" s="12" t="str">
        <f>'Marco Flores'!D20</f>
        <v/>
      </c>
      <c r="E81" s="12" t="str">
        <f>'Marco Flores'!E20</f>
        <v/>
      </c>
      <c r="F81" s="108" t="str">
        <f>'Marco Flores'!F20</f>
        <v>14. Descartado / No Califica</v>
      </c>
      <c r="G81" s="48">
        <f>'Marco Flores'!G20</f>
        <v>45992</v>
      </c>
      <c r="H81" s="49">
        <f>'Marco Flores'!H20</f>
        <v>129207.59</v>
      </c>
      <c r="I81" s="21" t="str">
        <f>'Marco Flores'!I20</f>
        <v/>
      </c>
      <c r="J81" s="108" t="str">
        <f>'Marco Flores'!J20</f>
        <v>Llamada en Frío (Prospección)</v>
      </c>
      <c r="K81" s="12" t="str">
        <f>'Marco Flores'!K20</f>
        <v>Marco Flores</v>
      </c>
    </row>
    <row r="82" ht="22.5" customHeight="1">
      <c r="A82" s="107" t="str">
        <f>'Marco Flores'!A21</f>
        <v>PSP33</v>
      </c>
      <c r="B82" s="12" t="str">
        <f>'Marco Flores'!B21</f>
        <v>Jaqueline Galicia Galicia</v>
      </c>
      <c r="C82" s="12" t="str">
        <f>'Marco Flores'!C21</f>
        <v>Alimentos Dasssami</v>
      </c>
      <c r="D82" s="12" t="str">
        <f>'Marco Flores'!D21</f>
        <v/>
      </c>
      <c r="E82" s="12" t="str">
        <f>'Marco Flores'!E21</f>
        <v/>
      </c>
      <c r="F82" s="108" t="str">
        <f>'Marco Flores'!F21</f>
        <v>14. Descartado / No Califica</v>
      </c>
      <c r="G82" s="48">
        <f>'Marco Flores'!G21</f>
        <v>45988</v>
      </c>
      <c r="H82" s="49">
        <f>'Marco Flores'!H21</f>
        <v>16756.24</v>
      </c>
      <c r="I82" s="21" t="str">
        <f>'Marco Flores'!I21</f>
        <v/>
      </c>
      <c r="J82" s="108" t="str">
        <f>'Marco Flores'!J21</f>
        <v>Congreso / Cámara / Networking</v>
      </c>
      <c r="K82" s="12" t="str">
        <f>'Marco Flores'!K21</f>
        <v>Marco Flores</v>
      </c>
    </row>
    <row r="83" ht="22.5" customHeight="1">
      <c r="A83" s="107" t="str">
        <f>'Marco Flores'!A22</f>
        <v>PSP34</v>
      </c>
      <c r="B83" s="12" t="str">
        <f>'Marco Flores'!B22</f>
        <v>Rubén Rocha</v>
      </c>
      <c r="C83" s="12" t="str">
        <f>'Marco Flores'!C22</f>
        <v>Raldoss Inn</v>
      </c>
      <c r="D83" s="12" t="str">
        <f>'Marco Flores'!D22</f>
        <v/>
      </c>
      <c r="E83" s="12" t="str">
        <f>'Marco Flores'!E22</f>
        <v/>
      </c>
      <c r="F83" s="108" t="str">
        <f>'Marco Flores'!F22</f>
        <v>14. Descartado / No Califica</v>
      </c>
      <c r="G83" s="48">
        <f>'Marco Flores'!G22</f>
        <v>45985</v>
      </c>
      <c r="H83" s="49">
        <f>'Marco Flores'!H22</f>
        <v>17635.48</v>
      </c>
      <c r="I83" s="21" t="str">
        <f>'Marco Flores'!I22</f>
        <v/>
      </c>
      <c r="J83" s="108" t="str">
        <f>'Marco Flores'!J22</f>
        <v>Redes Sociales (Facebook/Instagram)</v>
      </c>
      <c r="K83" s="12" t="str">
        <f>'Marco Flores'!K22</f>
        <v>Marco Flores</v>
      </c>
    </row>
    <row r="84" ht="22.5" customHeight="1">
      <c r="A84" s="107" t="str">
        <f>'Marco Flores'!A23</f>
        <v>PSP35</v>
      </c>
      <c r="B84" s="12" t="str">
        <f>'Marco Flores'!B23</f>
        <v>Esperanza Saavedra</v>
      </c>
      <c r="C84" s="12" t="str">
        <f>'Marco Flores'!C23</f>
        <v>Domiciliar</v>
      </c>
      <c r="D84" s="12" t="str">
        <f>'Marco Flores'!D23</f>
        <v/>
      </c>
      <c r="E84" s="12" t="str">
        <f>'Marco Flores'!E23</f>
        <v/>
      </c>
      <c r="F84" s="108" t="str">
        <f>'Marco Flores'!F23</f>
        <v>14. Descartado / No Califica</v>
      </c>
      <c r="G84" s="48">
        <f>'Marco Flores'!G23</f>
        <v>45992</v>
      </c>
      <c r="H84" s="49">
        <f>'Marco Flores'!H23</f>
        <v>1599.25</v>
      </c>
      <c r="I84" s="21" t="str">
        <f>'Marco Flores'!I23</f>
        <v/>
      </c>
      <c r="J84" s="108" t="str">
        <f>'Marco Flores'!J23</f>
        <v>Redes Sociales (Facebook/Instagram)</v>
      </c>
      <c r="K84" s="12" t="str">
        <f>'Marco Flores'!K23</f>
        <v>Marco Flores</v>
      </c>
    </row>
    <row r="85" ht="22.5" customHeight="1">
      <c r="A85" s="107" t="str">
        <f>'Marco Flores'!A24</f>
        <v>PSP36</v>
      </c>
      <c r="B85" s="12" t="str">
        <f>'Marco Flores'!B24</f>
        <v>Victor Perez</v>
      </c>
      <c r="C85" s="12" t="str">
        <f>'Marco Flores'!C24</f>
        <v>Domiciliar</v>
      </c>
      <c r="D85" s="12" t="str">
        <f>'Marco Flores'!D24</f>
        <v/>
      </c>
      <c r="E85" s="12" t="str">
        <f>'Marco Flores'!E24</f>
        <v/>
      </c>
      <c r="F85" s="108" t="str">
        <f>'Marco Flores'!F24</f>
        <v>14. Descartado / No Califica</v>
      </c>
      <c r="G85" s="48">
        <f>'Marco Flores'!G24</f>
        <v>46030</v>
      </c>
      <c r="H85" s="49">
        <f>'Marco Flores'!H24</f>
        <v>2015.57</v>
      </c>
      <c r="I85" s="21" t="str">
        <f>'Marco Flores'!I24</f>
        <v/>
      </c>
      <c r="J85" s="108" t="str">
        <f>'Marco Flores'!J24</f>
        <v>Redes Sociales (Facebook/Instagram)</v>
      </c>
      <c r="K85" s="12" t="str">
        <f>'Marco Flores'!K24</f>
        <v>Marco Flores</v>
      </c>
    </row>
    <row r="86" ht="22.5" customHeight="1">
      <c r="A86" s="107" t="str">
        <f>'Alexandro Carrasco'!A2</f>
        <v/>
      </c>
      <c r="B86" s="12" t="str">
        <f>'Alexandro Carrasco'!B2</f>
        <v>Adrián Fonseca</v>
      </c>
      <c r="C86" s="12" t="str">
        <f>'Alexandro Carrasco'!C2</f>
        <v>Calzado</v>
      </c>
      <c r="D86" s="110" t="str">
        <f>'Alexandro Carrasco'!D2</f>
        <v>Leon</v>
      </c>
      <c r="E86" s="12" t="str">
        <f>'Alexandro Carrasco'!E2</f>
        <v>SFV</v>
      </c>
      <c r="F86" s="108" t="str">
        <f>'Alexandro Carrasco'!F2</f>
        <v>8. Propuesta Enviada</v>
      </c>
      <c r="G86" s="48">
        <f>'Alexandro Carrasco'!G2</f>
        <v>46111</v>
      </c>
      <c r="H86" s="49" t="str">
        <f>'Alexandro Carrasco'!H2</f>
        <v/>
      </c>
      <c r="I86" s="21" t="str">
        <f>'Alexandro Carrasco'!I2</f>
        <v/>
      </c>
      <c r="J86" s="108" t="str">
        <f>'Alexandro Carrasco'!J2</f>
        <v/>
      </c>
      <c r="K86" s="12" t="str">
        <f>'Alexandro Carrasco'!K2</f>
        <v>Alexandro Carrasco</v>
      </c>
    </row>
    <row r="87" ht="22.5" customHeight="1">
      <c r="A87" s="107" t="str">
        <f>'Alexandro Carrasco'!A3</f>
        <v/>
      </c>
      <c r="B87" s="12" t="str">
        <f>'Alexandro Carrasco'!B3</f>
        <v>Laura Pichardo</v>
      </c>
      <c r="C87" s="12" t="str">
        <f>'Alexandro Carrasco'!C3</f>
        <v>Particular</v>
      </c>
      <c r="D87" s="110" t="str">
        <f>'Alexandro Carrasco'!D3</f>
        <v>Leon</v>
      </c>
      <c r="E87" s="12" t="str">
        <f>'Alexandro Carrasco'!E3</f>
        <v>SFV</v>
      </c>
      <c r="F87" s="108" t="str">
        <f>'Alexandro Carrasco'!F3</f>
        <v>8. Propuesta Enviada</v>
      </c>
      <c r="G87" s="48">
        <f>'Alexandro Carrasco'!G3</f>
        <v>46111</v>
      </c>
      <c r="H87" s="49" t="str">
        <f>'Alexandro Carrasco'!H3</f>
        <v/>
      </c>
      <c r="I87" s="21" t="str">
        <f>'Alexandro Carrasco'!I3</f>
        <v/>
      </c>
      <c r="J87" s="108" t="str">
        <f>'Alexandro Carrasco'!J3</f>
        <v/>
      </c>
      <c r="K87" s="12" t="str">
        <f>'Alexandro Carrasco'!K3</f>
        <v>Alexandro Carrasco</v>
      </c>
    </row>
    <row r="88" ht="22.5" customHeight="1">
      <c r="A88" s="107" t="str">
        <f>'Alexandro Carrasco'!A4</f>
        <v/>
      </c>
      <c r="B88" s="12" t="str">
        <f>'Alexandro Carrasco'!B4</f>
        <v>Ing. Germán Jiménez</v>
      </c>
      <c r="C88" s="12" t="str">
        <f>'Alexandro Carrasco'!C4</f>
        <v>Lidgar de México</v>
      </c>
      <c r="D88" s="12" t="str">
        <f>'Alexandro Carrasco'!D4</f>
        <v>CDMX</v>
      </c>
      <c r="E88" s="12" t="str">
        <f>'Alexandro Carrasco'!E4</f>
        <v>SFV + BiPV</v>
      </c>
      <c r="F88" s="108" t="str">
        <f>'Alexandro Carrasco'!F4</f>
        <v>1. Prospección</v>
      </c>
      <c r="G88" s="48">
        <f>'Alexandro Carrasco'!G4</f>
        <v>46100</v>
      </c>
      <c r="H88" s="49" t="str">
        <f>'Alexandro Carrasco'!H4</f>
        <v/>
      </c>
      <c r="I88" s="21" t="str">
        <f>'Alexandro Carrasco'!I4</f>
        <v/>
      </c>
      <c r="J88" s="108" t="str">
        <f>'Alexandro Carrasco'!J4</f>
        <v>Llamada en Frío (Prospección)</v>
      </c>
      <c r="K88" s="12" t="str">
        <f>'Alexandro Carrasco'!K4</f>
        <v>Alexandro Carrasco</v>
      </c>
    </row>
    <row r="89" ht="22.5" customHeight="1">
      <c r="A89" s="107" t="str">
        <f>'Alexandro Carrasco'!A5</f>
        <v/>
      </c>
      <c r="B89" s="12" t="str">
        <f>'Alexandro Carrasco'!B5</f>
        <v>Ignacio Tortoriello</v>
      </c>
      <c r="C89" s="12" t="str">
        <f>'Alexandro Carrasco'!C5</f>
        <v>Fibra Uno</v>
      </c>
      <c r="D89" s="12" t="str">
        <f>'Alexandro Carrasco'!D5</f>
        <v>CDMX</v>
      </c>
      <c r="E89" s="12" t="str">
        <f>'Alexandro Carrasco'!E5</f>
        <v>SFV</v>
      </c>
      <c r="F89" s="108" t="str">
        <f>'Alexandro Carrasco'!F5</f>
        <v>1. Prospección</v>
      </c>
      <c r="G89" s="48">
        <f>'Alexandro Carrasco'!G5</f>
        <v>46083</v>
      </c>
      <c r="H89" s="49" t="str">
        <f>'Alexandro Carrasco'!H5</f>
        <v/>
      </c>
      <c r="I89" s="21" t="str">
        <f>'Alexandro Carrasco'!I5</f>
        <v/>
      </c>
      <c r="J89" s="108" t="str">
        <f>'Alexandro Carrasco'!J5</f>
        <v>Referido (Empleado/Interno)</v>
      </c>
      <c r="K89" s="12" t="str">
        <f>'Alexandro Carrasco'!K5</f>
        <v>Alexandro Carrasco</v>
      </c>
    </row>
    <row r="90" ht="22.5" customHeight="1">
      <c r="A90" s="107" t="str">
        <f>'Alexandro Carrasco'!A6</f>
        <v/>
      </c>
      <c r="B90" s="12" t="str">
        <f>'Alexandro Carrasco'!B6</f>
        <v>Daniel González</v>
      </c>
      <c r="C90" s="12" t="str">
        <f>'Alexandro Carrasco'!C6</f>
        <v>ICT Compounds</v>
      </c>
      <c r="D90" s="110" t="str">
        <f>'Alexandro Carrasco'!D6</f>
        <v>Leon</v>
      </c>
      <c r="E90" s="12" t="str">
        <f>'Alexandro Carrasco'!E6</f>
        <v>SFV</v>
      </c>
      <c r="F90" s="108" t="str">
        <f>'Alexandro Carrasco'!F6</f>
        <v>1. Prospección</v>
      </c>
      <c r="G90" s="48">
        <f>'Alexandro Carrasco'!G6</f>
        <v>46079</v>
      </c>
      <c r="H90" s="49" t="str">
        <f>'Alexandro Carrasco'!H6</f>
        <v/>
      </c>
      <c r="I90" s="21" t="str">
        <f>'Alexandro Carrasco'!I6</f>
        <v/>
      </c>
      <c r="J90" s="108" t="str">
        <f>'Alexandro Carrasco'!J6</f>
        <v>Llamada en Frío (Prospección)</v>
      </c>
      <c r="K90" s="12" t="str">
        <f>'Alexandro Carrasco'!K6</f>
        <v>Alexandro Carrasco</v>
      </c>
    </row>
    <row r="91" ht="22.5" customHeight="1">
      <c r="A91" s="107" t="str">
        <f>'Alexandro Carrasco'!A7</f>
        <v/>
      </c>
      <c r="B91" s="12" t="str">
        <f>'Alexandro Carrasco'!B7</f>
        <v>Daniela Castro</v>
      </c>
      <c r="C91" s="12" t="str">
        <f>'Alexandro Carrasco'!C7</f>
        <v>JAW</v>
      </c>
      <c r="D91" s="110" t="str">
        <f>'Alexandro Carrasco'!D7</f>
        <v>CDMX</v>
      </c>
      <c r="E91" s="12" t="str">
        <f>'Alexandro Carrasco'!E7</f>
        <v>SFV</v>
      </c>
      <c r="F91" s="108" t="str">
        <f>'Alexandro Carrasco'!F7</f>
        <v>1. Prospección</v>
      </c>
      <c r="G91" s="48">
        <f>'Alexandro Carrasco'!G7</f>
        <v>46079</v>
      </c>
      <c r="H91" s="49" t="str">
        <f>'Alexandro Carrasco'!H7</f>
        <v/>
      </c>
      <c r="I91" s="21" t="str">
        <f>'Alexandro Carrasco'!I7</f>
        <v/>
      </c>
      <c r="J91" s="108" t="str">
        <f>'Alexandro Carrasco'!J7</f>
        <v>Referido (Cliente)</v>
      </c>
      <c r="K91" s="12" t="str">
        <f>'Alexandro Carrasco'!K7</f>
        <v>Alexandro Carrasco</v>
      </c>
    </row>
    <row r="92" ht="22.5" customHeight="1">
      <c r="A92" s="107" t="str">
        <f>'Alexandro Carrasco'!A8</f>
        <v/>
      </c>
      <c r="B92" s="12" t="str">
        <f>'Alexandro Carrasco'!B8</f>
        <v>Nicolás Martínez Matallana</v>
      </c>
      <c r="C92" s="12" t="str">
        <f>'Alexandro Carrasco'!C8</f>
        <v>Accor</v>
      </c>
      <c r="D92" s="110" t="str">
        <f>'Alexandro Carrasco'!D8</f>
        <v>CDMX</v>
      </c>
      <c r="E92" s="12" t="str">
        <f>'Alexandro Carrasco'!E8</f>
        <v>SFV</v>
      </c>
      <c r="F92" s="108" t="str">
        <f>'Alexandro Carrasco'!F8</f>
        <v>1. Prospección</v>
      </c>
      <c r="G92" s="48">
        <f>'Alexandro Carrasco'!G8</f>
        <v>46079</v>
      </c>
      <c r="H92" s="49" t="str">
        <f>'Alexandro Carrasco'!H8</f>
        <v/>
      </c>
      <c r="I92" s="21" t="str">
        <f>'Alexandro Carrasco'!I8</f>
        <v/>
      </c>
      <c r="J92" s="108" t="str">
        <f>'Alexandro Carrasco'!J8</f>
        <v>Referido (Cliente)</v>
      </c>
      <c r="K92" s="12" t="str">
        <f>'Alexandro Carrasco'!K8</f>
        <v>Alexandro Carrasco</v>
      </c>
    </row>
    <row r="93" ht="22.5" customHeight="1">
      <c r="A93" s="107" t="str">
        <f>'Alexandro Carrasco'!A9</f>
        <v/>
      </c>
      <c r="B93" s="12" t="str">
        <f>'Alexandro Carrasco'!B9</f>
        <v>Édgar Said Cortés González</v>
      </c>
      <c r="C93" s="12" t="str">
        <f>'Alexandro Carrasco'!C9</f>
        <v>Ismer Construcción</v>
      </c>
      <c r="D93" s="110" t="str">
        <f>'Alexandro Carrasco'!D9</f>
        <v>CDMX</v>
      </c>
      <c r="E93" s="12" t="str">
        <f>'Alexandro Carrasco'!E9</f>
        <v>SFV</v>
      </c>
      <c r="F93" s="108" t="str">
        <f>'Alexandro Carrasco'!F9</f>
        <v>1. Prospección</v>
      </c>
      <c r="G93" s="48">
        <f>'Alexandro Carrasco'!G9</f>
        <v>46079</v>
      </c>
      <c r="H93" s="49" t="str">
        <f>'Alexandro Carrasco'!H9</f>
        <v/>
      </c>
      <c r="I93" s="21" t="str">
        <f>'Alexandro Carrasco'!I9</f>
        <v/>
      </c>
      <c r="J93" s="108" t="str">
        <f>'Alexandro Carrasco'!J9</f>
        <v>Referido (Cliente)</v>
      </c>
      <c r="K93" s="12" t="str">
        <f>'Alexandro Carrasco'!K9</f>
        <v>Alexandro Carrasco</v>
      </c>
    </row>
    <row r="94" ht="22.5" customHeight="1">
      <c r="A94" s="107" t="str">
        <f>'Alexandro Carrasco'!A10</f>
        <v/>
      </c>
      <c r="B94" s="12" t="str">
        <f>'Alexandro Carrasco'!B10</f>
        <v>Lic. Guadalupe Hernández</v>
      </c>
      <c r="C94" s="12" t="str">
        <f>'Alexandro Carrasco'!C10</f>
        <v>Siegfried Rhein</v>
      </c>
      <c r="D94" s="110" t="str">
        <f>'Alexandro Carrasco'!D10</f>
        <v>Querétaro</v>
      </c>
      <c r="E94" s="12" t="str">
        <f>'Alexandro Carrasco'!E10</f>
        <v>SFV</v>
      </c>
      <c r="F94" s="108" t="str">
        <f>'Alexandro Carrasco'!F10</f>
        <v>1. Prospección</v>
      </c>
      <c r="G94" s="48">
        <f>'Alexandro Carrasco'!G10</f>
        <v>46078</v>
      </c>
      <c r="H94" s="49" t="str">
        <f>'Alexandro Carrasco'!H10</f>
        <v/>
      </c>
      <c r="I94" s="21" t="str">
        <f>'Alexandro Carrasco'!I10</f>
        <v/>
      </c>
      <c r="J94" s="108" t="str">
        <f>'Alexandro Carrasco'!J10</f>
        <v>LinkedIn (Orgánico)</v>
      </c>
      <c r="K94" s="12" t="str">
        <f>'Alexandro Carrasco'!K10</f>
        <v>Alexandro Carrasco</v>
      </c>
    </row>
    <row r="95" ht="22.5" customHeight="1">
      <c r="A95" s="107" t="str">
        <f>'Alexandro Carrasco'!A11</f>
        <v/>
      </c>
      <c r="B95" s="12" t="str">
        <f>'Alexandro Carrasco'!B11</f>
        <v>Francisco Zambrano</v>
      </c>
      <c r="C95" s="12" t="str">
        <f>'Alexandro Carrasco'!C11</f>
        <v>GM Capital</v>
      </c>
      <c r="D95" s="110" t="str">
        <f>'Alexandro Carrasco'!D11</f>
        <v>Monterrey</v>
      </c>
      <c r="E95" s="12" t="str">
        <f>'Alexandro Carrasco'!E11</f>
        <v>SFV</v>
      </c>
      <c r="F95" s="108" t="str">
        <f>'Alexandro Carrasco'!F11</f>
        <v>1. Prospección</v>
      </c>
      <c r="G95" s="48">
        <f>'Alexandro Carrasco'!G11</f>
        <v>46077</v>
      </c>
      <c r="H95" s="49" t="str">
        <f>'Alexandro Carrasco'!H11</f>
        <v/>
      </c>
      <c r="I95" s="21" t="str">
        <f>'Alexandro Carrasco'!I11</f>
        <v/>
      </c>
      <c r="J95" s="108" t="str">
        <f>'Alexandro Carrasco'!J11</f>
        <v>Email Outbound (Prospección)</v>
      </c>
      <c r="K95" s="12" t="str">
        <f>'Alexandro Carrasco'!K11</f>
        <v>Alexandro Carrasco</v>
      </c>
    </row>
    <row r="96" ht="22.5" customHeight="1">
      <c r="A96" s="107" t="str">
        <f>'Alexandro Carrasco'!A12</f>
        <v/>
      </c>
      <c r="B96" s="12" t="str">
        <f>'Alexandro Carrasco'!B12</f>
        <v>Pepe Lezama</v>
      </c>
      <c r="C96" s="12" t="str">
        <f>'Alexandro Carrasco'!C12</f>
        <v>Grupo Lezgo</v>
      </c>
      <c r="D96" s="110" t="str">
        <f>'Alexandro Carrasco'!D12</f>
        <v>Querétaro</v>
      </c>
      <c r="E96" s="12" t="str">
        <f>'Alexandro Carrasco'!E12</f>
        <v>SFV</v>
      </c>
      <c r="F96" s="108" t="str">
        <f>'Alexandro Carrasco'!F12</f>
        <v>1. Prospección</v>
      </c>
      <c r="G96" s="48">
        <f>'Alexandro Carrasco'!G12</f>
        <v>46077</v>
      </c>
      <c r="H96" s="49" t="str">
        <f>'Alexandro Carrasco'!H12</f>
        <v/>
      </c>
      <c r="I96" s="21" t="str">
        <f>'Alexandro Carrasco'!I12</f>
        <v/>
      </c>
      <c r="J96" s="108" t="str">
        <f>'Alexandro Carrasco'!J12</f>
        <v>Referido (Cliente)</v>
      </c>
      <c r="K96" s="12" t="str">
        <f>'Alexandro Carrasco'!K12</f>
        <v>Alexandro Carrasco</v>
      </c>
    </row>
    <row r="97" ht="22.5" customHeight="1">
      <c r="A97" s="107" t="str">
        <f>'Alexandro Carrasco'!A13</f>
        <v/>
      </c>
      <c r="B97" s="12" t="str">
        <f>'Alexandro Carrasco'!B13</f>
        <v>Renato Villaseñor</v>
      </c>
      <c r="C97" s="12" t="str">
        <f>'Alexandro Carrasco'!C13</f>
        <v>Cluster Automotriz</v>
      </c>
      <c r="D97" s="110" t="str">
        <f>'Alexandro Carrasco'!D13</f>
        <v>Querétaro</v>
      </c>
      <c r="E97" s="12" t="str">
        <f>'Alexandro Carrasco'!E13</f>
        <v>SFV</v>
      </c>
      <c r="F97" s="108" t="str">
        <f>'Alexandro Carrasco'!F13</f>
        <v>1. Prospección</v>
      </c>
      <c r="G97" s="48">
        <f>'Alexandro Carrasco'!G13</f>
        <v>46077</v>
      </c>
      <c r="H97" s="49" t="str">
        <f>'Alexandro Carrasco'!H13</f>
        <v/>
      </c>
      <c r="I97" s="21" t="str">
        <f>'Alexandro Carrasco'!I13</f>
        <v/>
      </c>
      <c r="J97" s="108" t="str">
        <f>'Alexandro Carrasco'!J13</f>
        <v>Chat Web / WhatsApp</v>
      </c>
      <c r="K97" s="12" t="str">
        <f>'Alexandro Carrasco'!K13</f>
        <v>Alexandro Carrasco</v>
      </c>
    </row>
    <row r="98" ht="22.5" customHeight="1">
      <c r="A98" s="107" t="str">
        <f>'Alexandro Carrasco'!A14</f>
        <v/>
      </c>
      <c r="B98" s="12" t="str">
        <f>'Alexandro Carrasco'!B14</f>
        <v>Edgardo Martínez / Fernanda Centeno</v>
      </c>
      <c r="C98" s="12" t="str">
        <f>'Alexandro Carrasco'!C14</f>
        <v>Logistik Industrial Park </v>
      </c>
      <c r="D98" s="110" t="str">
        <f>'Alexandro Carrasco'!D14</f>
        <v>S.L.P.</v>
      </c>
      <c r="E98" s="12" t="str">
        <f>'Alexandro Carrasco'!E14</f>
        <v>SFV</v>
      </c>
      <c r="F98" s="108" t="str">
        <f>'Alexandro Carrasco'!F14</f>
        <v>1. Prospección</v>
      </c>
      <c r="G98" s="48">
        <f>'Alexandro Carrasco'!G14</f>
        <v>46077</v>
      </c>
      <c r="H98" s="49" t="str">
        <f>'Alexandro Carrasco'!H14</f>
        <v/>
      </c>
      <c r="I98" s="21" t="str">
        <f>'Alexandro Carrasco'!I14</f>
        <v/>
      </c>
      <c r="J98" s="108" t="str">
        <f>'Alexandro Carrasco'!J14</f>
        <v>Referido (Empleado/Interno)</v>
      </c>
      <c r="K98" s="12" t="str">
        <f>'Alexandro Carrasco'!K14</f>
        <v>Alexandro Carrasco</v>
      </c>
    </row>
    <row r="99" ht="22.5" customHeight="1">
      <c r="A99" s="107" t="str">
        <f>'Alexandro Carrasco'!A15</f>
        <v/>
      </c>
      <c r="B99" s="12" t="str">
        <f>'Alexandro Carrasco'!B15</f>
        <v>Srta. Cruz</v>
      </c>
      <c r="C99" s="12" t="str">
        <f>'Alexandro Carrasco'!C15</f>
        <v>Promec Industrial</v>
      </c>
      <c r="D99" s="110" t="str">
        <f>'Alexandro Carrasco'!D15</f>
        <v>Leon</v>
      </c>
      <c r="E99" s="12" t="str">
        <f>'Alexandro Carrasco'!E15</f>
        <v>SFV</v>
      </c>
      <c r="F99" s="108" t="str">
        <f>'Alexandro Carrasco'!F15</f>
        <v>1. Prospección</v>
      </c>
      <c r="G99" s="48">
        <f>'Alexandro Carrasco'!G15</f>
        <v>46077</v>
      </c>
      <c r="H99" s="49" t="str">
        <f>'Alexandro Carrasco'!H15</f>
        <v/>
      </c>
      <c r="I99" s="21" t="str">
        <f>'Alexandro Carrasco'!I15</f>
        <v/>
      </c>
      <c r="J99" s="108" t="str">
        <f>'Alexandro Carrasco'!J15</f>
        <v>Chat Web / WhatsApp</v>
      </c>
      <c r="K99" s="12" t="str">
        <f>'Alexandro Carrasco'!K15</f>
        <v>Alexandro Carrasco</v>
      </c>
    </row>
    <row r="100" ht="22.5" customHeight="1">
      <c r="A100" s="107" t="str">
        <f>'Alexandro Carrasco'!A16</f>
        <v/>
      </c>
      <c r="B100" s="12" t="str">
        <f>'Alexandro Carrasco'!B16</f>
        <v>Yesenia Ventura</v>
      </c>
      <c r="C100" s="12" t="str">
        <f>'Alexandro Carrasco'!C16</f>
        <v>GMD Ingeniería</v>
      </c>
      <c r="D100" s="12" t="str">
        <f>'Alexandro Carrasco'!D16</f>
        <v/>
      </c>
      <c r="E100" s="12" t="str">
        <f>'Alexandro Carrasco'!E16</f>
        <v>SFV</v>
      </c>
      <c r="F100" s="108" t="str">
        <f>'Alexandro Carrasco'!F16</f>
        <v>1. Prospección</v>
      </c>
      <c r="G100" s="48">
        <f>'Alexandro Carrasco'!G16</f>
        <v>46077</v>
      </c>
      <c r="H100" s="49" t="str">
        <f>'Alexandro Carrasco'!H16</f>
        <v/>
      </c>
      <c r="I100" s="21" t="str">
        <f>'Alexandro Carrasco'!I16</f>
        <v/>
      </c>
      <c r="J100" s="108" t="str">
        <f>'Alexandro Carrasco'!J16</f>
        <v>Chat Web / WhatsApp</v>
      </c>
      <c r="K100" s="12" t="str">
        <f>'Alexandro Carrasco'!K16</f>
        <v>Alexandro Carrasco</v>
      </c>
    </row>
    <row r="101" ht="22.5" customHeight="1">
      <c r="A101" s="107" t="str">
        <f>'Alexandro Carrasco'!A17</f>
        <v/>
      </c>
      <c r="B101" s="12" t="str">
        <f>'Alexandro Carrasco'!B17</f>
        <v>David Rincón Alemán</v>
      </c>
      <c r="C101" s="12" t="str">
        <f>'Alexandro Carrasco'!C17</f>
        <v>Frazier</v>
      </c>
      <c r="D101" s="110" t="str">
        <f>'Alexandro Carrasco'!D17</f>
        <v>CDMX</v>
      </c>
      <c r="E101" s="12" t="str">
        <f>'Alexandro Carrasco'!E17</f>
        <v>SFV</v>
      </c>
      <c r="F101" s="108" t="str">
        <f>'Alexandro Carrasco'!F17</f>
        <v>1. Prospección</v>
      </c>
      <c r="G101" s="48">
        <f>'Alexandro Carrasco'!G17</f>
        <v>46077</v>
      </c>
      <c r="H101" s="49" t="str">
        <f>'Alexandro Carrasco'!H17</f>
        <v/>
      </c>
      <c r="I101" s="21" t="str">
        <f>'Alexandro Carrasco'!I17</f>
        <v/>
      </c>
      <c r="J101" s="108" t="str">
        <f>'Alexandro Carrasco'!J17</f>
        <v>Chat Web / WhatsApp</v>
      </c>
      <c r="K101" s="12" t="str">
        <f>'Alexandro Carrasco'!K17</f>
        <v>Alexandro Carrasco</v>
      </c>
    </row>
    <row r="102" ht="22.5" customHeight="1">
      <c r="A102" s="107" t="str">
        <f>'Alexandro Carrasco'!A18</f>
        <v/>
      </c>
      <c r="B102" s="12" t="str">
        <f>'Alexandro Carrasco'!B18</f>
        <v>Lic. Rodrigo Folgueras VP</v>
      </c>
      <c r="C102" s="12" t="str">
        <f>'Alexandro Carrasco'!C18</f>
        <v>CBRE</v>
      </c>
      <c r="D102" s="110" t="str">
        <f>'Alexandro Carrasco'!D18</f>
        <v>Querétaro</v>
      </c>
      <c r="E102" s="12" t="str">
        <f>'Alexandro Carrasco'!E18</f>
        <v>SFV</v>
      </c>
      <c r="F102" s="108" t="str">
        <f>'Alexandro Carrasco'!F18</f>
        <v>1. Prospección</v>
      </c>
      <c r="G102" s="48">
        <f>'Alexandro Carrasco'!G18</f>
        <v>46076</v>
      </c>
      <c r="H102" s="49" t="str">
        <f>'Alexandro Carrasco'!H18</f>
        <v/>
      </c>
      <c r="I102" s="21" t="str">
        <f>'Alexandro Carrasco'!I18</f>
        <v/>
      </c>
      <c r="J102" s="108" t="str">
        <f>'Alexandro Carrasco'!J18</f>
        <v>Referido (Cliente)</v>
      </c>
      <c r="K102" s="12" t="str">
        <f>'Alexandro Carrasco'!K18</f>
        <v>Alexandro Carrasco</v>
      </c>
    </row>
    <row r="103" ht="22.5" customHeight="1">
      <c r="A103" s="107" t="str">
        <f>'Alexandro Carrasco'!A19</f>
        <v/>
      </c>
      <c r="B103" s="12" t="str">
        <f>'Alexandro Carrasco'!B19</f>
        <v>Félix García Álvarez</v>
      </c>
      <c r="C103" s="12" t="str">
        <f>'Alexandro Carrasco'!C19</f>
        <v>Desago Desarrollos</v>
      </c>
      <c r="D103" s="110" t="str">
        <f>'Alexandro Carrasco'!D19</f>
        <v>Monterrey</v>
      </c>
      <c r="E103" s="12" t="str">
        <f>'Alexandro Carrasco'!E19</f>
        <v>SFV</v>
      </c>
      <c r="F103" s="108" t="str">
        <f>'Alexandro Carrasco'!F19</f>
        <v>1. Prospección</v>
      </c>
      <c r="G103" s="48">
        <f>'Alexandro Carrasco'!G19</f>
        <v>46073</v>
      </c>
      <c r="H103" s="49" t="str">
        <f>'Alexandro Carrasco'!H19</f>
        <v/>
      </c>
      <c r="I103" s="21" t="str">
        <f>'Alexandro Carrasco'!I19</f>
        <v/>
      </c>
      <c r="J103" s="108" t="str">
        <f>'Alexandro Carrasco'!J19</f>
        <v>LinkedIn (Orgánico)</v>
      </c>
      <c r="K103" s="12" t="str">
        <f>'Alexandro Carrasco'!K19</f>
        <v>Alexandro Carrasco</v>
      </c>
    </row>
    <row r="104" ht="22.5" customHeight="1">
      <c r="A104" s="107" t="str">
        <f>'Alexandro Carrasco'!A20</f>
        <v>PSP147</v>
      </c>
      <c r="B104" s="12" t="str">
        <f>'Alexandro Carrasco'!B20</f>
        <v>Arq. Óscar López (Archetonic)</v>
      </c>
      <c r="C104" s="12" t="str">
        <f>'Alexandro Carrasco'!C20</f>
        <v>Residencial</v>
      </c>
      <c r="D104" s="110" t="str">
        <f>'Alexandro Carrasco'!D20</f>
        <v>CDMX</v>
      </c>
      <c r="E104" s="12" t="str">
        <f>'Alexandro Carrasco'!E20</f>
        <v>SFV</v>
      </c>
      <c r="F104" s="108" t="str">
        <f>'Alexandro Carrasco'!F20</f>
        <v>8. Propuesta Enviada</v>
      </c>
      <c r="G104" s="48">
        <f>'Alexandro Carrasco'!G20</f>
        <v>46072</v>
      </c>
      <c r="H104" s="49" t="str">
        <f>'Alexandro Carrasco'!H20</f>
        <v/>
      </c>
      <c r="I104" s="21" t="str">
        <f>'Alexandro Carrasco'!I20</f>
        <v/>
      </c>
      <c r="J104" s="108" t="str">
        <f>'Alexandro Carrasco'!J20</f>
        <v>Referido (Cliente)</v>
      </c>
      <c r="K104" s="12" t="str">
        <f>'Alexandro Carrasco'!K20</f>
        <v>Alexandro Carrasco</v>
      </c>
    </row>
    <row r="105" ht="22.5" customHeight="1">
      <c r="A105" s="107" t="str">
        <f>'Alexandro Carrasco'!A21</f>
        <v>PSP145</v>
      </c>
      <c r="B105" s="12" t="str">
        <f>'Alexandro Carrasco'!B21</f>
        <v>Édgar Alberto Sánchez Soriano</v>
      </c>
      <c r="C105" s="12" t="str">
        <f>'Alexandro Carrasco'!C21</f>
        <v>Residencial</v>
      </c>
      <c r="D105" s="110" t="str">
        <f>'Alexandro Carrasco'!D21</f>
        <v>Puebla</v>
      </c>
      <c r="E105" s="12" t="str">
        <f>'Alexandro Carrasco'!E21</f>
        <v>SFV</v>
      </c>
      <c r="F105" s="108" t="str">
        <f>'Alexandro Carrasco'!F21</f>
        <v>7. Estimación / Cotización</v>
      </c>
      <c r="G105" s="48">
        <f>'Alexandro Carrasco'!G21</f>
        <v>46071</v>
      </c>
      <c r="H105" s="49" t="str">
        <f>'Alexandro Carrasco'!H21</f>
        <v/>
      </c>
      <c r="I105" s="21" t="str">
        <f>'Alexandro Carrasco'!I21</f>
        <v/>
      </c>
      <c r="J105" s="108" t="str">
        <f>'Alexandro Carrasco'!J21</f>
        <v>Referido (Cliente)</v>
      </c>
      <c r="K105" s="12" t="str">
        <f>'Alexandro Carrasco'!K21</f>
        <v>Alexandro Carrasco</v>
      </c>
    </row>
    <row r="106" ht="22.5" customHeight="1">
      <c r="A106" s="107" t="str">
        <f>'Alexandro Carrasco'!A22</f>
        <v>PSP146</v>
      </c>
      <c r="B106" s="12" t="str">
        <f>'Alexandro Carrasco'!B22</f>
        <v>Claudia Romero</v>
      </c>
      <c r="C106" s="12" t="str">
        <f>'Alexandro Carrasco'!C22</f>
        <v>Abarrotes</v>
      </c>
      <c r="D106" s="110" t="str">
        <f>'Alexandro Carrasco'!D22</f>
        <v>Leon</v>
      </c>
      <c r="E106" s="12" t="str">
        <f>'Alexandro Carrasco'!E22</f>
        <v>SFV</v>
      </c>
      <c r="F106" s="108" t="str">
        <f>'Alexandro Carrasco'!F22</f>
        <v>1. Prospección</v>
      </c>
      <c r="G106" s="48">
        <f>'Alexandro Carrasco'!G22</f>
        <v>46071</v>
      </c>
      <c r="H106" s="49" t="str">
        <f>'Alexandro Carrasco'!H22</f>
        <v/>
      </c>
      <c r="I106" s="21" t="str">
        <f>'Alexandro Carrasco'!I22</f>
        <v/>
      </c>
      <c r="J106" s="108" t="str">
        <f>'Alexandro Carrasco'!J22</f>
        <v>Visita en Frío (Prospección)</v>
      </c>
      <c r="K106" s="12" t="str">
        <f>'Alexandro Carrasco'!K22</f>
        <v>Alexandro Carrasco</v>
      </c>
    </row>
    <row r="107" ht="22.5" customHeight="1">
      <c r="A107" s="107" t="str">
        <f>'Alexandro Carrasco'!A23</f>
        <v>PSP132</v>
      </c>
      <c r="B107" s="12" t="str">
        <f>'Alexandro Carrasco'!B23</f>
        <v>Arq. Cristóbal Martínez</v>
      </c>
      <c r="C107" s="12" t="str">
        <f>'Alexandro Carrasco'!C23</f>
        <v>Particular</v>
      </c>
      <c r="D107" s="110" t="str">
        <f>'Alexandro Carrasco'!D23</f>
        <v>CDMX</v>
      </c>
      <c r="E107" s="12" t="str">
        <f>'Alexandro Carrasco'!E23</f>
        <v>SFV Invernadero</v>
      </c>
      <c r="F107" s="108" t="str">
        <f>'Alexandro Carrasco'!F23</f>
        <v>1. Prospección</v>
      </c>
      <c r="G107" s="48">
        <f>'Alexandro Carrasco'!G23</f>
        <v>46070</v>
      </c>
      <c r="H107" s="49" t="str">
        <f>'Alexandro Carrasco'!H23</f>
        <v/>
      </c>
      <c r="I107" s="21" t="str">
        <f>'Alexandro Carrasco'!I23</f>
        <v/>
      </c>
      <c r="J107" s="108" t="str">
        <f>'Alexandro Carrasco'!J23</f>
        <v>Chat Web / WhatsApp</v>
      </c>
      <c r="K107" s="12" t="str">
        <f>'Alexandro Carrasco'!K23</f>
        <v>Alexandro Carrasco</v>
      </c>
    </row>
    <row r="108" ht="22.5" customHeight="1">
      <c r="A108" s="107" t="str">
        <f>'Alexandro Carrasco'!A24</f>
        <v>PSP133</v>
      </c>
      <c r="B108" s="12" t="str">
        <f>'Alexandro Carrasco'!B24</f>
        <v>Ing. Luis Javier Barrientos</v>
      </c>
      <c r="C108" s="12" t="str">
        <f>'Alexandro Carrasco'!C24</f>
        <v>Ingeniería México</v>
      </c>
      <c r="D108" s="110" t="str">
        <f>'Alexandro Carrasco'!D24</f>
        <v>Quintana Roo</v>
      </c>
      <c r="E108" s="12" t="str">
        <f>'Alexandro Carrasco'!E24</f>
        <v>SFV</v>
      </c>
      <c r="F108" s="108" t="str">
        <f>'Alexandro Carrasco'!F24</f>
        <v>1. Prospección</v>
      </c>
      <c r="G108" s="48">
        <f>'Alexandro Carrasco'!G24</f>
        <v>46070</v>
      </c>
      <c r="H108" s="49" t="str">
        <f>'Alexandro Carrasco'!H24</f>
        <v/>
      </c>
      <c r="I108" s="21" t="str">
        <f>'Alexandro Carrasco'!I24</f>
        <v/>
      </c>
      <c r="J108" s="108" t="str">
        <f>'Alexandro Carrasco'!J24</f>
        <v>Referido (Cliente)</v>
      </c>
      <c r="K108" s="12" t="str">
        <f>'Alexandro Carrasco'!K24</f>
        <v>Alexandro Carrasco</v>
      </c>
    </row>
    <row r="109" ht="22.5" customHeight="1">
      <c r="A109" s="107" t="str">
        <f>'Alexandro Carrasco'!A25</f>
        <v>PSP134</v>
      </c>
      <c r="B109" s="12" t="str">
        <f>'Alexandro Carrasco'!B25</f>
        <v>Julio Jaramillo</v>
      </c>
      <c r="C109" s="12" t="str">
        <f>'Alexandro Carrasco'!C25</f>
        <v>Grupo Sitra</v>
      </c>
      <c r="D109" s="110" t="str">
        <f>'Alexandro Carrasco'!D25</f>
        <v>Guanajuato</v>
      </c>
      <c r="E109" s="12" t="str">
        <f>'Alexandro Carrasco'!E25</f>
        <v>SFV</v>
      </c>
      <c r="F109" s="108" t="str">
        <f>'Alexandro Carrasco'!F25</f>
        <v>1. Prospección</v>
      </c>
      <c r="G109" s="48">
        <f>'Alexandro Carrasco'!G25</f>
        <v>46070</v>
      </c>
      <c r="H109" s="49" t="str">
        <f>'Alexandro Carrasco'!H25</f>
        <v/>
      </c>
      <c r="I109" s="21" t="str">
        <f>'Alexandro Carrasco'!I25</f>
        <v/>
      </c>
      <c r="J109" s="108" t="str">
        <f>'Alexandro Carrasco'!J25</f>
        <v>LinkedIn (Orgánico)</v>
      </c>
      <c r="K109" s="12" t="str">
        <f>'Alexandro Carrasco'!K25</f>
        <v>Alexandro Carrasco</v>
      </c>
    </row>
    <row r="110" ht="22.5" customHeight="1">
      <c r="A110" s="107" t="str">
        <f>'Alexandro Carrasco'!A26</f>
        <v>PSP135</v>
      </c>
      <c r="B110" s="12" t="str">
        <f>'Alexandro Carrasco'!B26</f>
        <v>Ulises Everardo Medina</v>
      </c>
      <c r="C110" s="12" t="str">
        <f>'Alexandro Carrasco'!C26</f>
        <v>Sicla Construcciones</v>
      </c>
      <c r="D110" s="12" t="str">
        <f>'Alexandro Carrasco'!D26</f>
        <v>CDMX</v>
      </c>
      <c r="E110" s="12" t="str">
        <f>'Alexandro Carrasco'!E26</f>
        <v>SFV</v>
      </c>
      <c r="F110" s="108" t="str">
        <f>'Alexandro Carrasco'!F26</f>
        <v>1. Prospección</v>
      </c>
      <c r="G110" s="48">
        <f>'Alexandro Carrasco'!G26</f>
        <v>46070</v>
      </c>
      <c r="H110" s="49" t="str">
        <f>'Alexandro Carrasco'!H26</f>
        <v/>
      </c>
      <c r="I110" s="21" t="str">
        <f>'Alexandro Carrasco'!I26</f>
        <v/>
      </c>
      <c r="J110" s="108" t="str">
        <f>'Alexandro Carrasco'!J26</f>
        <v>LinkedIn (Orgánico)</v>
      </c>
      <c r="K110" s="12" t="str">
        <f>'Alexandro Carrasco'!K26</f>
        <v>Alexandro Carrasco</v>
      </c>
    </row>
    <row r="111" ht="22.5" customHeight="1">
      <c r="A111" s="107" t="str">
        <f>'Alexandro Carrasco'!A27</f>
        <v>PSP138</v>
      </c>
      <c r="B111" s="12" t="str">
        <f>'Alexandro Carrasco'!B27</f>
        <v>Víctor González</v>
      </c>
      <c r="C111" s="12" t="str">
        <f>'Alexandro Carrasco'!C27</f>
        <v>Grupo Ruma</v>
      </c>
      <c r="D111" s="110" t="str">
        <f>'Alexandro Carrasco'!D27</f>
        <v>Guadalajara</v>
      </c>
      <c r="E111" s="12" t="str">
        <f>'Alexandro Carrasco'!E27</f>
        <v>SFV</v>
      </c>
      <c r="F111" s="108" t="str">
        <f>'Alexandro Carrasco'!F27</f>
        <v>1. Prospección</v>
      </c>
      <c r="G111" s="48">
        <f>'Alexandro Carrasco'!G27</f>
        <v>46070</v>
      </c>
      <c r="H111" s="49" t="str">
        <f>'Alexandro Carrasco'!H27</f>
        <v/>
      </c>
      <c r="I111" s="21" t="str">
        <f>'Alexandro Carrasco'!I27</f>
        <v/>
      </c>
      <c r="J111" s="108" t="str">
        <f>'Alexandro Carrasco'!J27</f>
        <v>LinkedIn (Orgánico)</v>
      </c>
      <c r="K111" s="12" t="str">
        <f>'Alexandro Carrasco'!K27</f>
        <v>Alexandro Carrasco</v>
      </c>
    </row>
    <row r="112" ht="22.5" customHeight="1">
      <c r="A112" s="107" t="str">
        <f>'Alexandro Carrasco'!A28</f>
        <v>PSP139</v>
      </c>
      <c r="B112" s="12" t="str">
        <f>'Alexandro Carrasco'!B28</f>
        <v>Ángel Mora</v>
      </c>
      <c r="C112" s="12" t="str">
        <f>'Alexandro Carrasco'!C28</f>
        <v>Teiker</v>
      </c>
      <c r="D112" s="110" t="str">
        <f>'Alexandro Carrasco'!D28</f>
        <v>CDMX</v>
      </c>
      <c r="E112" s="12" t="str">
        <f>'Alexandro Carrasco'!E28</f>
        <v>SFV</v>
      </c>
      <c r="F112" s="108" t="str">
        <f>'Alexandro Carrasco'!F28</f>
        <v>1. Prospección</v>
      </c>
      <c r="G112" s="48">
        <f>'Alexandro Carrasco'!G28</f>
        <v>46070</v>
      </c>
      <c r="H112" s="49" t="str">
        <f>'Alexandro Carrasco'!H28</f>
        <v/>
      </c>
      <c r="I112" s="21" t="str">
        <f>'Alexandro Carrasco'!I28</f>
        <v/>
      </c>
      <c r="J112" s="108" t="str">
        <f>'Alexandro Carrasco'!J28</f>
        <v>LinkedIn (Orgánico)</v>
      </c>
      <c r="K112" s="12" t="str">
        <f>'Alexandro Carrasco'!K28</f>
        <v>Alexandro Carrasco</v>
      </c>
    </row>
    <row r="113" ht="22.5" customHeight="1">
      <c r="A113" s="107" t="str">
        <f>'Alexandro Carrasco'!A29</f>
        <v>PSP131</v>
      </c>
      <c r="B113" s="12" t="str">
        <f>'Alexandro Carrasco'!B29</f>
        <v>José Castillo</v>
      </c>
      <c r="C113" s="12" t="str">
        <f>'Alexandro Carrasco'!C29</f>
        <v>Grupo Rejsa</v>
      </c>
      <c r="D113" s="110" t="str">
        <f>'Alexandro Carrasco'!D29</f>
        <v>CDMX</v>
      </c>
      <c r="E113" s="12" t="str">
        <f>'Alexandro Carrasco'!E29</f>
        <v>SFV Invernadero</v>
      </c>
      <c r="F113" s="108" t="str">
        <f>'Alexandro Carrasco'!F29</f>
        <v>1. Prospección</v>
      </c>
      <c r="G113" s="48">
        <f>'Alexandro Carrasco'!G29</f>
        <v>46069</v>
      </c>
      <c r="H113" s="49" t="str">
        <f>'Alexandro Carrasco'!H29</f>
        <v/>
      </c>
      <c r="I113" s="21" t="str">
        <f>'Alexandro Carrasco'!I29</f>
        <v/>
      </c>
      <c r="J113" s="108" t="str">
        <f>'Alexandro Carrasco'!J29</f>
        <v>Chat Web / WhatsApp</v>
      </c>
      <c r="K113" s="12" t="str">
        <f>'Alexandro Carrasco'!K29</f>
        <v>Alexandro Carrasco</v>
      </c>
    </row>
    <row r="114" ht="22.5" customHeight="1">
      <c r="A114" s="107" t="str">
        <f>'Alexandro Carrasco'!A30</f>
        <v>PSP137</v>
      </c>
      <c r="B114" s="12" t="str">
        <f>'Alexandro Carrasco'!B30</f>
        <v>Cástulo Bojórquez Chaparro</v>
      </c>
      <c r="C114" s="12" t="str">
        <f>'Alexandro Carrasco'!C30</f>
        <v>Rest. El Camarón Guasaveño</v>
      </c>
      <c r="D114" s="110" t="str">
        <f>'Alexandro Carrasco'!D30</f>
        <v>Leon</v>
      </c>
      <c r="E114" s="12" t="str">
        <f>'Alexandro Carrasco'!E30</f>
        <v>SFV</v>
      </c>
      <c r="F114" s="108" t="str">
        <f>'Alexandro Carrasco'!F30</f>
        <v>8. Propuesta Enviada</v>
      </c>
      <c r="G114" s="48">
        <f>'Alexandro Carrasco'!G30</f>
        <v>46066</v>
      </c>
      <c r="H114" s="49" t="str">
        <f>'Alexandro Carrasco'!H30</f>
        <v/>
      </c>
      <c r="I114" s="21" t="str">
        <f>'Alexandro Carrasco'!I30</f>
        <v/>
      </c>
      <c r="J114" s="108" t="str">
        <f>'Alexandro Carrasco'!J30</f>
        <v>Visita en Frío (Prospección)</v>
      </c>
      <c r="K114" s="12" t="str">
        <f>'Alexandro Carrasco'!K30</f>
        <v>Alexandro Carrasco</v>
      </c>
    </row>
    <row r="115" ht="22.5" customHeight="1">
      <c r="A115" s="107" t="str">
        <f>'Alexandro Carrasco'!A31</f>
        <v>PSP119</v>
      </c>
      <c r="B115" s="12" t="str">
        <f>'Alexandro Carrasco'!B31</f>
        <v>Iván Peinado</v>
      </c>
      <c r="C115" s="12" t="str">
        <f>'Alexandro Carrasco'!C31</f>
        <v>Weyoung Technology</v>
      </c>
      <c r="D115" s="110" t="str">
        <f>'Alexandro Carrasco'!D31</f>
        <v>Irapuato</v>
      </c>
      <c r="E115" s="12" t="str">
        <f>'Alexandro Carrasco'!E31</f>
        <v>SFV</v>
      </c>
      <c r="F115" s="108" t="str">
        <f>'Alexandro Carrasco'!F31</f>
        <v>1. Prospección</v>
      </c>
      <c r="G115" s="48">
        <f>'Alexandro Carrasco'!G31</f>
        <v>46065</v>
      </c>
      <c r="H115" s="49" t="str">
        <f>'Alexandro Carrasco'!H31</f>
        <v/>
      </c>
      <c r="I115" s="21" t="str">
        <f>'Alexandro Carrasco'!I31</f>
        <v/>
      </c>
      <c r="J115" s="108" t="str">
        <f>'Alexandro Carrasco'!J31</f>
        <v>Llamada en Frío (Prospección)</v>
      </c>
      <c r="K115" s="12" t="str">
        <f>'Alexandro Carrasco'!K31</f>
        <v>Alexandro Carrasco</v>
      </c>
    </row>
    <row r="116" ht="22.5" customHeight="1">
      <c r="A116" s="107" t="str">
        <f>'Alexandro Carrasco'!A32</f>
        <v>PSP120</v>
      </c>
      <c r="B116" s="12" t="str">
        <f>'Alexandro Carrasco'!B32</f>
        <v>Eugenio M.</v>
      </c>
      <c r="C116" s="12" t="str">
        <f>'Alexandro Carrasco'!C32</f>
        <v>Inmobiliaria</v>
      </c>
      <c r="D116" s="110" t="str">
        <f>'Alexandro Carrasco'!D32</f>
        <v>CDMX</v>
      </c>
      <c r="E116" s="12" t="str">
        <f>'Alexandro Carrasco'!E32</f>
        <v>SFV</v>
      </c>
      <c r="F116" s="108" t="str">
        <f>'Alexandro Carrasco'!F32</f>
        <v>1. Prospección</v>
      </c>
      <c r="G116" s="48">
        <f>'Alexandro Carrasco'!G32</f>
        <v>46065</v>
      </c>
      <c r="H116" s="49" t="str">
        <f>'Alexandro Carrasco'!H32</f>
        <v/>
      </c>
      <c r="I116" s="21" t="str">
        <f>'Alexandro Carrasco'!I32</f>
        <v/>
      </c>
      <c r="J116" s="108" t="str">
        <f>'Alexandro Carrasco'!J32</f>
        <v>LinkedIn (Orgánico)</v>
      </c>
      <c r="K116" s="12" t="str">
        <f>'Alexandro Carrasco'!K32</f>
        <v>Alexandro Carrasco</v>
      </c>
    </row>
    <row r="117" ht="22.5" customHeight="1">
      <c r="A117" s="107" t="str">
        <f>'Alexandro Carrasco'!A33</f>
        <v>PSP121</v>
      </c>
      <c r="B117" s="12" t="str">
        <f>'Alexandro Carrasco'!B33</f>
        <v>Erick David Jimenez Fuentes / Jesús Galván</v>
      </c>
      <c r="C117" s="12" t="str">
        <f>'Alexandro Carrasco'!C33</f>
        <v>Gerdau Corsa SAPI</v>
      </c>
      <c r="D117" s="110" t="str">
        <f>'Alexandro Carrasco'!D33</f>
        <v>Leon</v>
      </c>
      <c r="E117" s="12" t="str">
        <f>'Alexandro Carrasco'!E33</f>
        <v>SFV</v>
      </c>
      <c r="F117" s="108" t="str">
        <f>'Alexandro Carrasco'!F33</f>
        <v>1. Prospección</v>
      </c>
      <c r="G117" s="48">
        <f>'Alexandro Carrasco'!G33</f>
        <v>46065</v>
      </c>
      <c r="H117" s="49" t="str">
        <f>'Alexandro Carrasco'!H33</f>
        <v/>
      </c>
      <c r="I117" s="21" t="str">
        <f>'Alexandro Carrasco'!I33</f>
        <v/>
      </c>
      <c r="J117" s="108" t="str">
        <f>'Alexandro Carrasco'!J33</f>
        <v>Chat Web / WhatsApp</v>
      </c>
      <c r="K117" s="12" t="str">
        <f>'Alexandro Carrasco'!K33</f>
        <v>Alexandro Carrasco</v>
      </c>
    </row>
    <row r="118" ht="22.5" customHeight="1">
      <c r="A118" s="107" t="str">
        <f>'Alexandro Carrasco'!A34</f>
        <v>PSP129</v>
      </c>
      <c r="B118" s="12" t="str">
        <f>'Alexandro Carrasco'!B34</f>
        <v>Ing. Marco Guadarrama</v>
      </c>
      <c r="C118" s="12" t="str">
        <f>'Alexandro Carrasco'!C34</f>
        <v>Gicons</v>
      </c>
      <c r="D118" s="110" t="str">
        <f>'Alexandro Carrasco'!D34</f>
        <v>CDMX</v>
      </c>
      <c r="E118" s="12" t="str">
        <f>'Alexandro Carrasco'!E34</f>
        <v>SFV</v>
      </c>
      <c r="F118" s="108" t="str">
        <f>'Alexandro Carrasco'!F34</f>
        <v>1. Prospección</v>
      </c>
      <c r="G118" s="48">
        <f>'Alexandro Carrasco'!G34</f>
        <v>46065</v>
      </c>
      <c r="H118" s="49" t="str">
        <f>'Alexandro Carrasco'!H34</f>
        <v/>
      </c>
      <c r="I118" s="21" t="str">
        <f>'Alexandro Carrasco'!I34</f>
        <v>&lt;</v>
      </c>
      <c r="J118" s="108" t="str">
        <f>'Alexandro Carrasco'!J34</f>
        <v>Chat Web / WhatsApp</v>
      </c>
      <c r="K118" s="12" t="str">
        <f>'Alexandro Carrasco'!K34</f>
        <v>Alexandro Carrasco</v>
      </c>
    </row>
    <row r="119" ht="22.5" customHeight="1">
      <c r="A119" s="107" t="str">
        <f>'Alexandro Carrasco'!A35</f>
        <v/>
      </c>
      <c r="B119" s="12" t="str">
        <f>'Alexandro Carrasco'!B35</f>
        <v>Cintia Arzate</v>
      </c>
      <c r="C119" s="12" t="str">
        <f>'Alexandro Carrasco'!C35</f>
        <v>Farmacias San Pablo</v>
      </c>
      <c r="D119" s="12" t="str">
        <f>'Alexandro Carrasco'!D35</f>
        <v>Todo México</v>
      </c>
      <c r="E119" s="12" t="str">
        <f>'Alexandro Carrasco'!E35</f>
        <v>SFV</v>
      </c>
      <c r="F119" s="108" t="str">
        <f>'Alexandro Carrasco'!F35</f>
        <v>1. Prospección</v>
      </c>
      <c r="G119" s="48">
        <f>'Alexandro Carrasco'!G35</f>
        <v>46065</v>
      </c>
      <c r="H119" s="49" t="str">
        <f>'Alexandro Carrasco'!H35</f>
        <v/>
      </c>
      <c r="I119" s="21" t="str">
        <f>'Alexandro Carrasco'!I35</f>
        <v/>
      </c>
      <c r="J119" s="108" t="str">
        <f>'Alexandro Carrasco'!J35</f>
        <v>Chat Web / WhatsApp</v>
      </c>
      <c r="K119" s="12" t="str">
        <f>'Alexandro Carrasco'!K35</f>
        <v>Alexandro Carrasco</v>
      </c>
    </row>
    <row r="120" ht="22.5" customHeight="1">
      <c r="A120" s="107" t="str">
        <f>'Alexandro Carrasco'!A36</f>
        <v>PSP110</v>
      </c>
      <c r="B120" s="12" t="str">
        <f>'Alexandro Carrasco'!B36</f>
        <v>Alberto Jair Franco</v>
      </c>
      <c r="C120" s="12" t="str">
        <f>'Alexandro Carrasco'!C36</f>
        <v>Hotelería</v>
      </c>
      <c r="D120" s="12" t="str">
        <f>'Alexandro Carrasco'!D36</f>
        <v/>
      </c>
      <c r="E120" s="12" t="str">
        <f>'Alexandro Carrasco'!E36</f>
        <v>SFV</v>
      </c>
      <c r="F120" s="108" t="str">
        <f>'Alexandro Carrasco'!F36</f>
        <v>1. Prospección</v>
      </c>
      <c r="G120" s="48">
        <f>'Alexandro Carrasco'!G36</f>
        <v>46064</v>
      </c>
      <c r="H120" s="49" t="str">
        <f>'Alexandro Carrasco'!H36</f>
        <v/>
      </c>
      <c r="I120" s="21" t="str">
        <f>'Alexandro Carrasco'!I36</f>
        <v/>
      </c>
      <c r="J120" s="108" t="str">
        <f>'Alexandro Carrasco'!J36</f>
        <v>LinkedIn (Orgánico)</v>
      </c>
      <c r="K120" s="12" t="str">
        <f>'Alexandro Carrasco'!K36</f>
        <v>Alexandro Carrasco</v>
      </c>
    </row>
    <row r="121" ht="22.5" customHeight="1">
      <c r="A121" s="107" t="str">
        <f>'Alexandro Carrasco'!A37</f>
        <v>PSP111</v>
      </c>
      <c r="B121" s="12" t="str">
        <f>'Alexandro Carrasco'!B37</f>
        <v>Jeiel Blanco Lerma</v>
      </c>
      <c r="C121" s="12" t="str">
        <f>'Alexandro Carrasco'!C37</f>
        <v>Mapei</v>
      </c>
      <c r="D121" s="110" t="str">
        <f>'Alexandro Carrasco'!D37</f>
        <v>Querétaro</v>
      </c>
      <c r="E121" s="12" t="str">
        <f>'Alexandro Carrasco'!E37</f>
        <v>SFV</v>
      </c>
      <c r="F121" s="108" t="str">
        <f>'Alexandro Carrasco'!F37</f>
        <v>1. Prospección</v>
      </c>
      <c r="G121" s="48">
        <f>'Alexandro Carrasco'!G37</f>
        <v>46064</v>
      </c>
      <c r="H121" s="49" t="str">
        <f>'Alexandro Carrasco'!H37</f>
        <v/>
      </c>
      <c r="I121" s="21" t="str">
        <f>'Alexandro Carrasco'!I37</f>
        <v/>
      </c>
      <c r="J121" s="108" t="str">
        <f>'Alexandro Carrasco'!J37</f>
        <v>Chat Web / WhatsApp</v>
      </c>
      <c r="K121" s="12" t="str">
        <f>'Alexandro Carrasco'!K37</f>
        <v>Alexandro Carrasco</v>
      </c>
    </row>
    <row r="122" ht="22.5" customHeight="1">
      <c r="A122" s="107" t="str">
        <f>'Alexandro Carrasco'!A38</f>
        <v>PSP113</v>
      </c>
      <c r="B122" s="12" t="str">
        <f>'Alexandro Carrasco'!B38</f>
        <v>Arq. Jorge Bracho / Arq. Miguel Trejo</v>
      </c>
      <c r="C122" s="12" t="str">
        <f>'Alexandro Carrasco'!C38</f>
        <v>HSK</v>
      </c>
      <c r="D122" s="110" t="str">
        <f>'Alexandro Carrasco'!D38</f>
        <v>CDMX</v>
      </c>
      <c r="E122" s="12" t="str">
        <f>'Alexandro Carrasco'!E38</f>
        <v>SFV</v>
      </c>
      <c r="F122" s="108" t="str">
        <f>'Alexandro Carrasco'!F38</f>
        <v>1. Prospección</v>
      </c>
      <c r="G122" s="48">
        <f>'Alexandro Carrasco'!G38</f>
        <v>46064</v>
      </c>
      <c r="H122" s="49" t="str">
        <f>'Alexandro Carrasco'!H38</f>
        <v/>
      </c>
      <c r="I122" s="21" t="str">
        <f>'Alexandro Carrasco'!I38</f>
        <v/>
      </c>
      <c r="J122" s="108" t="str">
        <f>'Alexandro Carrasco'!J38</f>
        <v>Referido (Cliente)</v>
      </c>
      <c r="K122" s="12" t="str">
        <f>'Alexandro Carrasco'!K38</f>
        <v>Alexandro Carrasco</v>
      </c>
    </row>
    <row r="123" ht="22.5" customHeight="1">
      <c r="A123" s="107" t="str">
        <f>'Alexandro Carrasco'!A39</f>
        <v>PSP114</v>
      </c>
      <c r="B123" s="12" t="str">
        <f>'Alexandro Carrasco'!B39</f>
        <v>Arq. Jair Zamudio</v>
      </c>
      <c r="C123" s="12" t="str">
        <f>'Alexandro Carrasco'!C39</f>
        <v>Orden y Arquitectura</v>
      </c>
      <c r="D123" s="110" t="str">
        <f>'Alexandro Carrasco'!D39</f>
        <v>Mazatlán</v>
      </c>
      <c r="E123" s="12" t="str">
        <f>'Alexandro Carrasco'!E39</f>
        <v>SFV BiPV</v>
      </c>
      <c r="F123" s="108" t="str">
        <f>'Alexandro Carrasco'!F39</f>
        <v>1. Prospección</v>
      </c>
      <c r="G123" s="48">
        <f>'Alexandro Carrasco'!G39</f>
        <v>46064</v>
      </c>
      <c r="H123" s="49" t="str">
        <f>'Alexandro Carrasco'!H39</f>
        <v/>
      </c>
      <c r="I123" s="21" t="str">
        <f>'Alexandro Carrasco'!I39</f>
        <v/>
      </c>
      <c r="J123" s="108" t="str">
        <f>'Alexandro Carrasco'!J39</f>
        <v>Referido (Cliente)</v>
      </c>
      <c r="K123" s="12" t="str">
        <f>'Alexandro Carrasco'!K39</f>
        <v>Alexandro Carrasco</v>
      </c>
    </row>
    <row r="124" ht="22.5" customHeight="1">
      <c r="A124" s="107" t="str">
        <f>'Alexandro Carrasco'!A40</f>
        <v/>
      </c>
      <c r="B124" s="12" t="str">
        <f>'Alexandro Carrasco'!B40</f>
        <v>Fausto Aquino</v>
      </c>
      <c r="C124" s="12" t="str">
        <f>'Alexandro Carrasco'!C40</f>
        <v>Greenwood</v>
      </c>
      <c r="D124" s="110" t="str">
        <f>'Alexandro Carrasco'!D40</f>
        <v>Guadalajara</v>
      </c>
      <c r="E124" s="12" t="str">
        <f>'Alexandro Carrasco'!E40</f>
        <v>SFV</v>
      </c>
      <c r="F124" s="108" t="str">
        <f>'Alexandro Carrasco'!F40</f>
        <v>1. Prospección</v>
      </c>
      <c r="G124" s="48">
        <f>'Alexandro Carrasco'!G40</f>
        <v>46064</v>
      </c>
      <c r="H124" s="49" t="str">
        <f>'Alexandro Carrasco'!H40</f>
        <v/>
      </c>
      <c r="I124" s="21" t="str">
        <f>'Alexandro Carrasco'!I40</f>
        <v/>
      </c>
      <c r="J124" s="108" t="str">
        <f>'Alexandro Carrasco'!J40</f>
        <v>LinkedIn (Orgánico)</v>
      </c>
      <c r="K124" s="12" t="str">
        <f>'Alexandro Carrasco'!K40</f>
        <v>Alexandro Carrasco</v>
      </c>
    </row>
    <row r="125" ht="22.5" customHeight="1">
      <c r="A125" s="107" t="str">
        <f>'Alexandro Carrasco'!A41</f>
        <v>PSP105</v>
      </c>
      <c r="B125" s="12" t="str">
        <f>'Alexandro Carrasco'!B41</f>
        <v>Mario Chapa</v>
      </c>
      <c r="C125" s="12" t="str">
        <f>'Alexandro Carrasco'!C41</f>
        <v>Vynmsa (Director General)</v>
      </c>
      <c r="D125" s="110" t="str">
        <f>'Alexandro Carrasco'!D41</f>
        <v>Monterrey</v>
      </c>
      <c r="E125" s="12" t="str">
        <f>'Alexandro Carrasco'!E41</f>
        <v>SFV</v>
      </c>
      <c r="F125" s="108" t="str">
        <f>'Alexandro Carrasco'!F41</f>
        <v>1. Prospección</v>
      </c>
      <c r="G125" s="48">
        <f>'Alexandro Carrasco'!G41</f>
        <v>46063</v>
      </c>
      <c r="H125" s="49" t="str">
        <f>'Alexandro Carrasco'!H41</f>
        <v/>
      </c>
      <c r="I125" s="21" t="str">
        <f>'Alexandro Carrasco'!I41</f>
        <v/>
      </c>
      <c r="J125" s="108" t="str">
        <f>'Alexandro Carrasco'!J41</f>
        <v>Llamada en Frío (Prospección)</v>
      </c>
      <c r="K125" s="12" t="str">
        <f>'Alexandro Carrasco'!K41</f>
        <v>Alexandro Carrasco</v>
      </c>
    </row>
    <row r="126" ht="22.5" customHeight="1">
      <c r="A126" s="107" t="str">
        <f>'Alexandro Carrasco'!A42</f>
        <v>PSP107</v>
      </c>
      <c r="B126" s="12" t="str">
        <f>'Alexandro Carrasco'!B42</f>
        <v>Arq. Rubén Caballero Hidrogo</v>
      </c>
      <c r="C126" s="12" t="str">
        <f>'Alexandro Carrasco'!C42</f>
        <v/>
      </c>
      <c r="D126" s="110" t="str">
        <f>'Alexandro Carrasco'!D42</f>
        <v>Ciudad Juárez</v>
      </c>
      <c r="E126" s="12" t="str">
        <f>'Alexandro Carrasco'!E42</f>
        <v>SFV + BC</v>
      </c>
      <c r="F126" s="108" t="str">
        <f>'Alexandro Carrasco'!F42</f>
        <v>1. Prospección</v>
      </c>
      <c r="G126" s="48">
        <f>'Alexandro Carrasco'!G42</f>
        <v>46063</v>
      </c>
      <c r="H126" s="49" t="str">
        <f>'Alexandro Carrasco'!H42</f>
        <v/>
      </c>
      <c r="I126" s="21" t="str">
        <f>'Alexandro Carrasco'!I42</f>
        <v/>
      </c>
      <c r="J126" s="108" t="str">
        <f>'Alexandro Carrasco'!J42</f>
        <v>Chat Web / WhatsApp</v>
      </c>
      <c r="K126" s="12" t="str">
        <f>'Alexandro Carrasco'!K42</f>
        <v>Alexandro Carrasco</v>
      </c>
    </row>
    <row r="127" ht="22.5" customHeight="1">
      <c r="A127" s="107" t="str">
        <f>'Alexandro Carrasco'!A43</f>
        <v>PSP108</v>
      </c>
      <c r="B127" s="12" t="str">
        <f>'Alexandro Carrasco'!B43</f>
        <v>Arq. Adrián de la Rosa</v>
      </c>
      <c r="C127" s="12" t="str">
        <f>'Alexandro Carrasco'!C43</f>
        <v>MPI PROYECTA</v>
      </c>
      <c r="D127" s="110" t="str">
        <f>'Alexandro Carrasco'!D43</f>
        <v>Monterrey</v>
      </c>
      <c r="E127" s="12" t="str">
        <f>'Alexandro Carrasco'!E43</f>
        <v>SFV</v>
      </c>
      <c r="F127" s="108" t="str">
        <f>'Alexandro Carrasco'!F43</f>
        <v>1. Prospección</v>
      </c>
      <c r="G127" s="48">
        <f>'Alexandro Carrasco'!G43</f>
        <v>46063</v>
      </c>
      <c r="H127" s="49" t="str">
        <f>'Alexandro Carrasco'!H43</f>
        <v/>
      </c>
      <c r="I127" s="21" t="str">
        <f>'Alexandro Carrasco'!I43</f>
        <v/>
      </c>
      <c r="J127" s="108" t="str">
        <f>'Alexandro Carrasco'!J43</f>
        <v>Chat Web / WhatsApp</v>
      </c>
      <c r="K127" s="12" t="str">
        <f>'Alexandro Carrasco'!K43</f>
        <v>Alexandro Carrasco</v>
      </c>
    </row>
    <row r="128" ht="22.5" customHeight="1">
      <c r="A128" s="107" t="str">
        <f>'Alexandro Carrasco'!A44</f>
        <v>PSP109</v>
      </c>
      <c r="B128" s="12" t="str">
        <f>'Alexandro Carrasco'!B44</f>
        <v>Francisco Morales</v>
      </c>
      <c r="C128" s="12" t="str">
        <f>'Alexandro Carrasco'!C44</f>
        <v>Hielería</v>
      </c>
      <c r="D128" s="12" t="str">
        <f>'Alexandro Carrasco'!D44</f>
        <v>CDMX y Oaxaca</v>
      </c>
      <c r="E128" s="12" t="str">
        <f>'Alexandro Carrasco'!E44</f>
        <v>SFV</v>
      </c>
      <c r="F128" s="108" t="str">
        <f>'Alexandro Carrasco'!F44</f>
        <v>1. Prospección</v>
      </c>
      <c r="G128" s="48">
        <f>'Alexandro Carrasco'!G44</f>
        <v>46063</v>
      </c>
      <c r="H128" s="49" t="str">
        <f>'Alexandro Carrasco'!H44</f>
        <v/>
      </c>
      <c r="I128" s="21" t="str">
        <f>'Alexandro Carrasco'!I44</f>
        <v/>
      </c>
      <c r="J128" s="108" t="str">
        <f>'Alexandro Carrasco'!J44</f>
        <v>Llamada en Frío (Prospección)</v>
      </c>
      <c r="K128" s="12" t="str">
        <f>'Alexandro Carrasco'!K44</f>
        <v>Alexandro Carrasco</v>
      </c>
    </row>
    <row r="129" ht="22.5" customHeight="1">
      <c r="A129" s="107" t="str">
        <f>'Alexandro Carrasco'!A45</f>
        <v>PSP115</v>
      </c>
      <c r="B129" s="12" t="str">
        <f>'Alexandro Carrasco'!B45</f>
        <v>Ing. Carlos Carrazco Espinoza</v>
      </c>
      <c r="C129" s="12" t="str">
        <f>'Alexandro Carrasco'!C45</f>
        <v>Minsa</v>
      </c>
      <c r="D129" s="110" t="str">
        <f>'Alexandro Carrasco'!D45</f>
        <v>Los Mochis</v>
      </c>
      <c r="E129" s="12" t="str">
        <f>'Alexandro Carrasco'!E45</f>
        <v>SFV</v>
      </c>
      <c r="F129" s="108" t="str">
        <f>'Alexandro Carrasco'!F45</f>
        <v>1. Prospección</v>
      </c>
      <c r="G129" s="48">
        <f>'Alexandro Carrasco'!G45</f>
        <v>46063</v>
      </c>
      <c r="H129" s="49" t="str">
        <f>'Alexandro Carrasco'!H45</f>
        <v/>
      </c>
      <c r="I129" s="21" t="str">
        <f>'Alexandro Carrasco'!I45</f>
        <v>&lt;</v>
      </c>
      <c r="J129" s="108" t="str">
        <f>'Alexandro Carrasco'!J45</f>
        <v>Visita en Frío (Prospección)</v>
      </c>
      <c r="K129" s="12" t="str">
        <f>'Alexandro Carrasco'!K45</f>
        <v>Alexandro Carrasco</v>
      </c>
    </row>
    <row r="130" ht="22.5" customHeight="1">
      <c r="A130" s="107" t="str">
        <f>'Alexandro Carrasco'!A46</f>
        <v>PSP81</v>
      </c>
      <c r="B130" s="12" t="str">
        <f>'Alexandro Carrasco'!B46</f>
        <v>Miguel González</v>
      </c>
      <c r="C130" s="12" t="str">
        <f>'Alexandro Carrasco'!C46</f>
        <v>CoEm (fábrica de muebles)</v>
      </c>
      <c r="D130" s="110" t="str">
        <f>'Alexandro Carrasco'!D46</f>
        <v>Querétaro</v>
      </c>
      <c r="E130" s="12" t="str">
        <f>'Alexandro Carrasco'!E46</f>
        <v>SFV</v>
      </c>
      <c r="F130" s="108" t="str">
        <f>'Alexandro Carrasco'!F46</f>
        <v>2. Contacto Inicial</v>
      </c>
      <c r="G130" s="48">
        <f>'Alexandro Carrasco'!G46</f>
        <v>46062</v>
      </c>
      <c r="H130" s="49" t="str">
        <f>'Alexandro Carrasco'!H46</f>
        <v/>
      </c>
      <c r="I130" s="21" t="str">
        <f>'Alexandro Carrasco'!I46</f>
        <v/>
      </c>
      <c r="J130" s="108" t="str">
        <f>'Alexandro Carrasco'!J46</f>
        <v>Chat Web / WhatsApp</v>
      </c>
      <c r="K130" s="12" t="str">
        <f>'Alexandro Carrasco'!K46</f>
        <v>Alexandro Carrasco</v>
      </c>
    </row>
    <row r="131" ht="22.5" customHeight="1">
      <c r="A131" s="107" t="str">
        <f>'Alexandro Carrasco'!A47</f>
        <v>PSP82</v>
      </c>
      <c r="B131" s="12" t="str">
        <f>'Alexandro Carrasco'!B47</f>
        <v>Diana Rivera</v>
      </c>
      <c r="C131" s="12" t="str">
        <f>'Alexandro Carrasco'!C47</f>
        <v>Glo-Acero</v>
      </c>
      <c r="D131" s="110" t="str">
        <f>'Alexandro Carrasco'!D47</f>
        <v>Celaya</v>
      </c>
      <c r="E131" s="12" t="str">
        <f>'Alexandro Carrasco'!E47</f>
        <v>SFV</v>
      </c>
      <c r="F131" s="108" t="str">
        <f>'Alexandro Carrasco'!F47</f>
        <v>1. Prospección</v>
      </c>
      <c r="G131" s="48">
        <f>'Alexandro Carrasco'!G47</f>
        <v>46062</v>
      </c>
      <c r="H131" s="49" t="str">
        <f>'Alexandro Carrasco'!H47</f>
        <v/>
      </c>
      <c r="I131" s="21" t="str">
        <f>'Alexandro Carrasco'!I47</f>
        <v/>
      </c>
      <c r="J131" s="108" t="str">
        <f>'Alexandro Carrasco'!J47</f>
        <v>Llamada en Frío (Prospección)</v>
      </c>
      <c r="K131" s="12" t="str">
        <f>'Alexandro Carrasco'!K47</f>
        <v>Alexandro Carrasco</v>
      </c>
    </row>
    <row r="132" ht="22.5" customHeight="1">
      <c r="A132" s="107" t="str">
        <f>'Alexandro Carrasco'!A48</f>
        <v>PSP85</v>
      </c>
      <c r="B132" s="12" t="str">
        <f>'Alexandro Carrasco'!B48</f>
        <v>Arq. Moisés Guzmán</v>
      </c>
      <c r="C132" s="12" t="str">
        <f>'Alexandro Carrasco'!C48</f>
        <v>PM Steele</v>
      </c>
      <c r="D132" s="110" t="str">
        <f>'Alexandro Carrasco'!D48</f>
        <v>CDMX</v>
      </c>
      <c r="E132" s="12" t="str">
        <f>'Alexandro Carrasco'!E48</f>
        <v>SFV</v>
      </c>
      <c r="F132" s="108" t="str">
        <f>'Alexandro Carrasco'!F48</f>
        <v>1. Prospección</v>
      </c>
      <c r="G132" s="48">
        <f>'Alexandro Carrasco'!G48</f>
        <v>46062</v>
      </c>
      <c r="H132" s="49" t="str">
        <f>'Alexandro Carrasco'!H48</f>
        <v/>
      </c>
      <c r="I132" s="21" t="str">
        <f>'Alexandro Carrasco'!I48</f>
        <v/>
      </c>
      <c r="J132" s="108" t="str">
        <f>'Alexandro Carrasco'!J48</f>
        <v>LinkedIn (Orgánico)</v>
      </c>
      <c r="K132" s="12" t="str">
        <f>'Alexandro Carrasco'!K48</f>
        <v>Alexandro Carrasco</v>
      </c>
    </row>
    <row r="133" ht="22.5" customHeight="1">
      <c r="A133" s="107" t="str">
        <f>'Alexandro Carrasco'!A49</f>
        <v>PSP89</v>
      </c>
      <c r="B133" s="12" t="str">
        <f>'Alexandro Carrasco'!B49</f>
        <v>Gabriel Villafranca</v>
      </c>
      <c r="C133" s="12" t="str">
        <f>'Alexandro Carrasco'!C49</f>
        <v>Pilba Parque Industrial</v>
      </c>
      <c r="D133" s="110" t="str">
        <f>'Alexandro Carrasco'!D49</f>
        <v>Santa Ana del Conde</v>
      </c>
      <c r="E133" s="12" t="str">
        <f>'Alexandro Carrasco'!E49</f>
        <v>SFV</v>
      </c>
      <c r="F133" s="108" t="str">
        <f>'Alexandro Carrasco'!F49</f>
        <v>2. Contacto Inicial</v>
      </c>
      <c r="G133" s="48">
        <f>'Alexandro Carrasco'!G49</f>
        <v>46062</v>
      </c>
      <c r="H133" s="49" t="str">
        <f>'Alexandro Carrasco'!H49</f>
        <v/>
      </c>
      <c r="I133" s="21" t="str">
        <f>'Alexandro Carrasco'!I49</f>
        <v/>
      </c>
      <c r="J133" s="108" t="str">
        <f>'Alexandro Carrasco'!J49</f>
        <v>LinkedIn (Orgánico)</v>
      </c>
      <c r="K133" s="12" t="str">
        <f>'Alexandro Carrasco'!K49</f>
        <v>Alexandro Carrasco</v>
      </c>
    </row>
    <row r="134" ht="22.5" customHeight="1">
      <c r="A134" s="107" t="str">
        <f>'Alexandro Carrasco'!A50</f>
        <v>PSP90</v>
      </c>
      <c r="B134" s="12" t="str">
        <f>'Alexandro Carrasco'!B50</f>
        <v>Javier Gutiérrez Ochoa</v>
      </c>
      <c r="C134" s="12" t="str">
        <f>'Alexandro Carrasco'!C50</f>
        <v>JLL</v>
      </c>
      <c r="D134" s="110" t="str">
        <f>'Alexandro Carrasco'!D50</f>
        <v>CDMX</v>
      </c>
      <c r="E134" s="12" t="str">
        <f>'Alexandro Carrasco'!E50</f>
        <v>SFV</v>
      </c>
      <c r="F134" s="108" t="str">
        <f>'Alexandro Carrasco'!F50</f>
        <v>1. Prospección</v>
      </c>
      <c r="G134" s="48">
        <f>'Alexandro Carrasco'!G50</f>
        <v>46062</v>
      </c>
      <c r="H134" s="49" t="str">
        <f>'Alexandro Carrasco'!H50</f>
        <v/>
      </c>
      <c r="I134" s="21" t="str">
        <f>'Alexandro Carrasco'!I50</f>
        <v/>
      </c>
      <c r="J134" s="108" t="str">
        <f>'Alexandro Carrasco'!J50</f>
        <v>LinkedIn (Orgánico)</v>
      </c>
      <c r="K134" s="12" t="str">
        <f>'Alexandro Carrasco'!K50</f>
        <v>Alexandro Carrasco</v>
      </c>
    </row>
    <row r="135" ht="22.5" customHeight="1">
      <c r="A135" s="107" t="str">
        <f>'Alexandro Carrasco'!A51</f>
        <v>PSP94</v>
      </c>
      <c r="B135" s="12" t="str">
        <f>'Alexandro Carrasco'!B51</f>
        <v>Ing. Jesús Mosqueda / Rodrigo Cabré</v>
      </c>
      <c r="C135" s="12" t="str">
        <f>'Alexandro Carrasco'!C51</f>
        <v>Grupak (Cartón)</v>
      </c>
      <c r="D135" s="110" t="str">
        <f>'Alexandro Carrasco'!D51</f>
        <v>CDMX</v>
      </c>
      <c r="E135" s="12" t="str">
        <f>'Alexandro Carrasco'!E51</f>
        <v>SFV</v>
      </c>
      <c r="F135" s="108" t="str">
        <f>'Alexandro Carrasco'!F51</f>
        <v>1. Prospección</v>
      </c>
      <c r="G135" s="48">
        <f>'Alexandro Carrasco'!G51</f>
        <v>46062</v>
      </c>
      <c r="H135" s="49" t="str">
        <f>'Alexandro Carrasco'!H51</f>
        <v/>
      </c>
      <c r="I135" s="21" t="str">
        <f>'Alexandro Carrasco'!I51</f>
        <v/>
      </c>
      <c r="J135" s="108" t="str">
        <f>'Alexandro Carrasco'!J51</f>
        <v>Chat Web / WhatsApp</v>
      </c>
      <c r="K135" s="12" t="str">
        <f>'Alexandro Carrasco'!K51</f>
        <v>Alexandro Carrasco</v>
      </c>
    </row>
    <row r="136" ht="22.5" customHeight="1">
      <c r="A136" s="107" t="str">
        <f>'Alexandro Carrasco'!A52</f>
        <v>PSP95</v>
      </c>
      <c r="B136" s="12" t="str">
        <f>'Alexandro Carrasco'!B52</f>
        <v>David Plata Sánchez</v>
      </c>
      <c r="C136" s="12" t="str">
        <f>'Alexandro Carrasco'!C52</f>
        <v>Vynmsa</v>
      </c>
      <c r="D136" s="110" t="str">
        <f>'Alexandro Carrasco'!D52</f>
        <v>Querétaro</v>
      </c>
      <c r="E136" s="12" t="str">
        <f>'Alexandro Carrasco'!E52</f>
        <v>SFV</v>
      </c>
      <c r="F136" s="108" t="str">
        <f>'Alexandro Carrasco'!F52</f>
        <v>1. Prospección</v>
      </c>
      <c r="G136" s="48">
        <f>'Alexandro Carrasco'!G52</f>
        <v>46062</v>
      </c>
      <c r="H136" s="49" t="str">
        <f>'Alexandro Carrasco'!H52</f>
        <v/>
      </c>
      <c r="I136" s="21" t="str">
        <f>'Alexandro Carrasco'!I52</f>
        <v/>
      </c>
      <c r="J136" s="108" t="str">
        <f>'Alexandro Carrasco'!J52</f>
        <v>Llamada en Frío (Prospección)</v>
      </c>
      <c r="K136" s="12" t="str">
        <f>'Alexandro Carrasco'!K52</f>
        <v>Alexandro Carrasco</v>
      </c>
    </row>
    <row r="137" ht="22.5" customHeight="1">
      <c r="A137" s="107" t="str">
        <f>'Alexandro Carrasco'!A53</f>
        <v>PSP96</v>
      </c>
      <c r="B137" s="12" t="str">
        <f>'Alexandro Carrasco'!B53</f>
        <v/>
      </c>
      <c r="C137" s="12" t="str">
        <f>'Alexandro Carrasco'!C53</f>
        <v>Silicones Inc</v>
      </c>
      <c r="D137" s="110" t="str">
        <f>'Alexandro Carrasco'!D53</f>
        <v>Monterrey</v>
      </c>
      <c r="E137" s="12" t="str">
        <f>'Alexandro Carrasco'!E53</f>
        <v>SFV</v>
      </c>
      <c r="F137" s="108" t="str">
        <f>'Alexandro Carrasco'!F53</f>
        <v>1. Prospección</v>
      </c>
      <c r="G137" s="48">
        <f>'Alexandro Carrasco'!G53</f>
        <v>46062</v>
      </c>
      <c r="H137" s="49" t="str">
        <f>'Alexandro Carrasco'!H53</f>
        <v/>
      </c>
      <c r="I137" s="21" t="str">
        <f>'Alexandro Carrasco'!I53</f>
        <v/>
      </c>
      <c r="J137" s="108" t="str">
        <f>'Alexandro Carrasco'!J53</f>
        <v>Chat Web / WhatsApp</v>
      </c>
      <c r="K137" s="12" t="str">
        <f>'Alexandro Carrasco'!K53</f>
        <v>Alexandro Carrasco</v>
      </c>
    </row>
    <row r="138" ht="22.5" customHeight="1">
      <c r="A138" s="107" t="str">
        <f>'Alexandro Carrasco'!A54</f>
        <v>PSP97</v>
      </c>
      <c r="B138" s="12" t="str">
        <f>'Alexandro Carrasco'!B54</f>
        <v>Montzerrat Castañón</v>
      </c>
      <c r="C138" s="12" t="str">
        <f>'Alexandro Carrasco'!C54</f>
        <v>Fractal</v>
      </c>
      <c r="D138" s="110" t="str">
        <f>'Alexandro Carrasco'!D54</f>
        <v>CDMX</v>
      </c>
      <c r="E138" s="12" t="str">
        <f>'Alexandro Carrasco'!E54</f>
        <v>SFV</v>
      </c>
      <c r="F138" s="108" t="str">
        <f>'Alexandro Carrasco'!F54</f>
        <v>1. Prospección</v>
      </c>
      <c r="G138" s="48">
        <f>'Alexandro Carrasco'!G54</f>
        <v>46062</v>
      </c>
      <c r="H138" s="49" t="str">
        <f>'Alexandro Carrasco'!H54</f>
        <v/>
      </c>
      <c r="I138" s="21" t="str">
        <f>'Alexandro Carrasco'!I54</f>
        <v/>
      </c>
      <c r="J138" s="108" t="str">
        <f>'Alexandro Carrasco'!J54</f>
        <v>Chat Web / WhatsApp</v>
      </c>
      <c r="K138" s="12" t="str">
        <f>'Alexandro Carrasco'!K54</f>
        <v>Alexandro Carrasco</v>
      </c>
    </row>
    <row r="139" ht="22.5" customHeight="1">
      <c r="A139" s="107" t="str">
        <f>'Alexandro Carrasco'!A55</f>
        <v>PSP98</v>
      </c>
      <c r="B139" s="12" t="str">
        <f>'Alexandro Carrasco'!B55</f>
        <v>Aldo Moreno</v>
      </c>
      <c r="C139" s="12" t="str">
        <f>'Alexandro Carrasco'!C55</f>
        <v>Archviz</v>
      </c>
      <c r="D139" s="110" t="str">
        <f>'Alexandro Carrasco'!D55</f>
        <v>CDMX</v>
      </c>
      <c r="E139" s="12" t="str">
        <f>'Alexandro Carrasco'!E55</f>
        <v>SFV</v>
      </c>
      <c r="F139" s="108" t="str">
        <f>'Alexandro Carrasco'!F55</f>
        <v>2. Contacto Inicial</v>
      </c>
      <c r="G139" s="48">
        <f>'Alexandro Carrasco'!G55</f>
        <v>46062</v>
      </c>
      <c r="H139" s="49" t="str">
        <f>'Alexandro Carrasco'!H55</f>
        <v/>
      </c>
      <c r="I139" s="21" t="str">
        <f>'Alexandro Carrasco'!I55</f>
        <v/>
      </c>
      <c r="J139" s="108" t="str">
        <f>'Alexandro Carrasco'!J55</f>
        <v>LinkedIn (Orgánico)</v>
      </c>
      <c r="K139" s="12" t="str">
        <f>'Alexandro Carrasco'!K55</f>
        <v>Alexandro Carrasco</v>
      </c>
    </row>
    <row r="140" ht="22.5" customHeight="1">
      <c r="A140" s="107" t="str">
        <f>'Alexandro Carrasco'!A56</f>
        <v>PSP99</v>
      </c>
      <c r="B140" s="12" t="str">
        <f>'Alexandro Carrasco'!B56</f>
        <v>Lic. José Daniel Cázares</v>
      </c>
      <c r="C140" s="12" t="str">
        <f>'Alexandro Carrasco'!C56</f>
        <v>Tupy</v>
      </c>
      <c r="D140" s="110" t="str">
        <f>'Alexandro Carrasco'!D56</f>
        <v>Saltillo</v>
      </c>
      <c r="E140" s="12" t="str">
        <f>'Alexandro Carrasco'!E56</f>
        <v>SFV</v>
      </c>
      <c r="F140" s="108" t="str">
        <f>'Alexandro Carrasco'!F56</f>
        <v>1. Prospección</v>
      </c>
      <c r="G140" s="48">
        <f>'Alexandro Carrasco'!G56</f>
        <v>46062</v>
      </c>
      <c r="H140" s="49" t="str">
        <f>'Alexandro Carrasco'!H56</f>
        <v/>
      </c>
      <c r="I140" s="21" t="str">
        <f>'Alexandro Carrasco'!I56</f>
        <v/>
      </c>
      <c r="J140" s="108" t="str">
        <f>'Alexandro Carrasco'!J56</f>
        <v>Chat Web / WhatsApp</v>
      </c>
      <c r="K140" s="12" t="str">
        <f>'Alexandro Carrasco'!K56</f>
        <v>Alexandro Carrasco</v>
      </c>
    </row>
    <row r="141" ht="22.5" customHeight="1">
      <c r="A141" s="107" t="str">
        <f>'Alexandro Carrasco'!A57</f>
        <v>PSP103</v>
      </c>
      <c r="B141" s="12" t="str">
        <f>'Alexandro Carrasco'!B57</f>
        <v>Israel Hernández</v>
      </c>
      <c r="C141" s="12" t="str">
        <f>'Alexandro Carrasco'!C57</f>
        <v>Colliers (AXA Seguros)</v>
      </c>
      <c r="D141" s="12" t="str">
        <f>'Alexandro Carrasco'!D57</f>
        <v>Bajío, Centro y Monterrey</v>
      </c>
      <c r="E141" s="12" t="str">
        <f>'Alexandro Carrasco'!E57</f>
        <v>SFV</v>
      </c>
      <c r="F141" s="108" t="str">
        <f>'Alexandro Carrasco'!F57</f>
        <v>7. Estimación / Cotización</v>
      </c>
      <c r="G141" s="48">
        <f>'Alexandro Carrasco'!G57</f>
        <v>46062</v>
      </c>
      <c r="H141" s="49" t="str">
        <f>'Alexandro Carrasco'!H57</f>
        <v/>
      </c>
      <c r="I141" s="21" t="str">
        <f>'Alexandro Carrasco'!I57</f>
        <v/>
      </c>
      <c r="J141" s="108" t="str">
        <f>'Alexandro Carrasco'!J57</f>
        <v>Referido (Empleado/Interno)</v>
      </c>
      <c r="K141" s="12" t="str">
        <f>'Alexandro Carrasco'!K57</f>
        <v>Alexandro Carrasco</v>
      </c>
    </row>
    <row r="142" ht="22.5" customHeight="1">
      <c r="A142" s="107" t="str">
        <f>'Alexandro Carrasco'!A58</f>
        <v>PSP106</v>
      </c>
      <c r="B142" s="12" t="str">
        <f>'Alexandro Carrasco'!B58</f>
        <v>Lic. Rubén (Gerente Regional)</v>
      </c>
      <c r="C142" s="12" t="str">
        <f>'Alexandro Carrasco'!C58</f>
        <v>Mr. Pampas do Brasil</v>
      </c>
      <c r="D142" s="110" t="str">
        <f>'Alexandro Carrasco'!D58</f>
        <v>Leon</v>
      </c>
      <c r="E142" s="12" t="str">
        <f>'Alexandro Carrasco'!E58</f>
        <v>SFV</v>
      </c>
      <c r="F142" s="108" t="str">
        <f>'Alexandro Carrasco'!F58</f>
        <v>1. Prospección</v>
      </c>
      <c r="G142" s="48">
        <f>'Alexandro Carrasco'!G58</f>
        <v>46062</v>
      </c>
      <c r="H142" s="49" t="str">
        <f>'Alexandro Carrasco'!H58</f>
        <v/>
      </c>
      <c r="I142" s="21" t="str">
        <f>'Alexandro Carrasco'!I58</f>
        <v/>
      </c>
      <c r="J142" s="108" t="str">
        <f>'Alexandro Carrasco'!J58</f>
        <v>Visita en Frío (Prospección)</v>
      </c>
      <c r="K142" s="12" t="str">
        <f>'Alexandro Carrasco'!K58</f>
        <v>Alexandro Carrasco</v>
      </c>
    </row>
    <row r="143" ht="22.5" customHeight="1">
      <c r="A143" s="107" t="str">
        <f>'Alexandro Carrasco'!A59</f>
        <v>PSP64</v>
      </c>
      <c r="B143" s="12" t="str">
        <f>'Alexandro Carrasco'!B59</f>
        <v>Lic. Pablo Ayala Castillo</v>
      </c>
      <c r="C143" s="12" t="str">
        <f>'Alexandro Carrasco'!C59</f>
        <v>PODIS Industria y Desarrollos</v>
      </c>
      <c r="D143" s="110" t="str">
        <f>'Alexandro Carrasco'!D59</f>
        <v>Ciudad de México</v>
      </c>
      <c r="E143" s="12" t="str">
        <f>'Alexandro Carrasco'!E59</f>
        <v>SFV</v>
      </c>
      <c r="F143" s="108" t="str">
        <f>'Alexandro Carrasco'!F59</f>
        <v>1. Prospección</v>
      </c>
      <c r="G143" s="48">
        <f>'Alexandro Carrasco'!G59</f>
        <v>46059</v>
      </c>
      <c r="H143" s="49" t="str">
        <f>'Alexandro Carrasco'!H59</f>
        <v/>
      </c>
      <c r="I143" s="21" t="str">
        <f>'Alexandro Carrasco'!I59</f>
        <v/>
      </c>
      <c r="J143" s="108" t="str">
        <f>'Alexandro Carrasco'!J59</f>
        <v>LinkedIn (Orgánico)</v>
      </c>
      <c r="K143" s="12" t="str">
        <f>'Alexandro Carrasco'!K59</f>
        <v>Alexandro Carrasco</v>
      </c>
    </row>
    <row r="144" ht="22.5" customHeight="1">
      <c r="A144" s="107" t="str">
        <f>'Alexandro Carrasco'!A60</f>
        <v>PSP65</v>
      </c>
      <c r="B144" s="12" t="str">
        <f>'Alexandro Carrasco'!B60</f>
        <v>José Luis Verduzco </v>
      </c>
      <c r="C144" s="12" t="str">
        <f>'Alexandro Carrasco'!C60</f>
        <v>Grupo Urbitec</v>
      </c>
      <c r="D144" s="110" t="str">
        <f>'Alexandro Carrasco'!D60</f>
        <v>Querétaro</v>
      </c>
      <c r="E144" s="12" t="str">
        <f>'Alexandro Carrasco'!E60</f>
        <v>SFV</v>
      </c>
      <c r="F144" s="108" t="str">
        <f>'Alexandro Carrasco'!F60</f>
        <v>1. Prospección</v>
      </c>
      <c r="G144" s="48">
        <f>'Alexandro Carrasco'!G60</f>
        <v>46059</v>
      </c>
      <c r="H144" s="49" t="str">
        <f>'Alexandro Carrasco'!H60</f>
        <v/>
      </c>
      <c r="I144" s="21" t="str">
        <f>'Alexandro Carrasco'!I60</f>
        <v/>
      </c>
      <c r="J144" s="108" t="str">
        <f>'Alexandro Carrasco'!J60</f>
        <v>Congreso / Cámara / Networking</v>
      </c>
      <c r="K144" s="12" t="str">
        <f>'Alexandro Carrasco'!K60</f>
        <v>Alexandro Carrasco</v>
      </c>
    </row>
    <row r="145" ht="22.5" customHeight="1">
      <c r="A145" s="107" t="str">
        <f>'Alexandro Carrasco'!A61</f>
        <v>PSP66</v>
      </c>
      <c r="B145" s="12" t="str">
        <f>'Alexandro Carrasco'!B61</f>
        <v>Arq. Salvador Miranda</v>
      </c>
      <c r="C145" s="12" t="str">
        <f>'Alexandro Carrasco'!C61</f>
        <v>Supervisión Contrato</v>
      </c>
      <c r="D145" s="110" t="str">
        <f>'Alexandro Carrasco'!D61</f>
        <v>Ciudad de México</v>
      </c>
      <c r="E145" s="12" t="str">
        <f>'Alexandro Carrasco'!E61</f>
        <v>SFV</v>
      </c>
      <c r="F145" s="108" t="str">
        <f>'Alexandro Carrasco'!F61</f>
        <v>1. Prospección</v>
      </c>
      <c r="G145" s="48">
        <f>'Alexandro Carrasco'!G61</f>
        <v>46059</v>
      </c>
      <c r="H145" s="49" t="str">
        <f>'Alexandro Carrasco'!H61</f>
        <v/>
      </c>
      <c r="I145" s="21" t="str">
        <f>'Alexandro Carrasco'!I61</f>
        <v/>
      </c>
      <c r="J145" s="108" t="str">
        <f>'Alexandro Carrasco'!J61</f>
        <v>LinkedIn (Orgánico)</v>
      </c>
      <c r="K145" s="12" t="str">
        <f>'Alexandro Carrasco'!K61</f>
        <v>Alexandro Carrasco</v>
      </c>
    </row>
    <row r="146" ht="22.5" customHeight="1">
      <c r="A146" s="107" t="str">
        <f>'Alexandro Carrasco'!A62</f>
        <v>PSP75</v>
      </c>
      <c r="B146" s="12" t="str">
        <f>'Alexandro Carrasco'!B62</f>
        <v>Omar Sto Guerrero</v>
      </c>
      <c r="C146" s="12" t="str">
        <f>'Alexandro Carrasco'!C62</f>
        <v>Sto Construcción</v>
      </c>
      <c r="D146" s="12" t="str">
        <f>'Alexandro Carrasco'!D62</f>
        <v>Bajío y Centro</v>
      </c>
      <c r="E146" s="12" t="str">
        <f>'Alexandro Carrasco'!E62</f>
        <v>SFV</v>
      </c>
      <c r="F146" s="108" t="str">
        <f>'Alexandro Carrasco'!F62</f>
        <v>1. Prospección</v>
      </c>
      <c r="G146" s="48">
        <f>'Alexandro Carrasco'!G62</f>
        <v>46058</v>
      </c>
      <c r="H146" s="49" t="str">
        <f>'Alexandro Carrasco'!H62</f>
        <v/>
      </c>
      <c r="I146" s="21" t="str">
        <f>'Alexandro Carrasco'!I62</f>
        <v/>
      </c>
      <c r="J146" s="108" t="str">
        <f>'Alexandro Carrasco'!J62</f>
        <v>Llamada en Frío (Prospección)</v>
      </c>
      <c r="K146" s="12" t="str">
        <f>'Alexandro Carrasco'!K62</f>
        <v>Alexandro Carrasco</v>
      </c>
    </row>
    <row r="147" ht="22.5" customHeight="1">
      <c r="A147" s="107" t="str">
        <f>'Alexandro Carrasco'!A63</f>
        <v/>
      </c>
      <c r="B147" s="12" t="str">
        <f>'Alexandro Carrasco'!B63</f>
        <v>Lic. Iván Valencia Tovar</v>
      </c>
      <c r="C147" s="12" t="str">
        <f>'Alexandro Carrasco'!C63</f>
        <v>Centracore</v>
      </c>
      <c r="D147" s="110" t="str">
        <f>'Alexandro Carrasco'!D63</f>
        <v>Celaya</v>
      </c>
      <c r="E147" s="12" t="str">
        <f>'Alexandro Carrasco'!E63</f>
        <v>SFV</v>
      </c>
      <c r="F147" s="108" t="str">
        <f>'Alexandro Carrasco'!F63</f>
        <v>1. Prospección</v>
      </c>
      <c r="G147" s="48">
        <f>'Alexandro Carrasco'!G63</f>
        <v>46058</v>
      </c>
      <c r="H147" s="49" t="str">
        <f>'Alexandro Carrasco'!H63</f>
        <v/>
      </c>
      <c r="I147" s="21" t="str">
        <f>'Alexandro Carrasco'!I63</f>
        <v/>
      </c>
      <c r="J147" s="108" t="str">
        <f>'Alexandro Carrasco'!J63</f>
        <v>Chat Web / WhatsApp</v>
      </c>
      <c r="K147" s="12" t="str">
        <f>'Alexandro Carrasco'!K63</f>
        <v>Alexandro Carrasco</v>
      </c>
    </row>
    <row r="148" ht="22.5" customHeight="1">
      <c r="A148" s="107" t="str">
        <f>'Alexandro Carrasco'!A64</f>
        <v>PSP53</v>
      </c>
      <c r="B148" s="12" t="str">
        <f>'Alexandro Carrasco'!B64</f>
        <v>Jorge Antonio López</v>
      </c>
      <c r="C148" s="12" t="str">
        <f>'Alexandro Carrasco'!C64</f>
        <v>Box Supplier de México SA DE CV</v>
      </c>
      <c r="D148" s="110" t="str">
        <f>'Alexandro Carrasco'!D64</f>
        <v>Ciudad de México</v>
      </c>
      <c r="E148" s="12" t="str">
        <f>'Alexandro Carrasco'!E64</f>
        <v>SFV</v>
      </c>
      <c r="F148" s="108" t="str">
        <f>'Alexandro Carrasco'!F64</f>
        <v>1. Prospección</v>
      </c>
      <c r="G148" s="48">
        <f>'Alexandro Carrasco'!G64</f>
        <v>46057</v>
      </c>
      <c r="H148" s="49" t="str">
        <f>'Alexandro Carrasco'!H64</f>
        <v/>
      </c>
      <c r="I148" s="21" t="str">
        <f>'Alexandro Carrasco'!I64</f>
        <v/>
      </c>
      <c r="J148" s="108" t="str">
        <f>'Alexandro Carrasco'!J64</f>
        <v>LinkedIn (Orgánico)</v>
      </c>
      <c r="K148" s="12" t="str">
        <f>'Alexandro Carrasco'!K64</f>
        <v>Alexandro Carrasco</v>
      </c>
    </row>
    <row r="149" ht="22.5" customHeight="1">
      <c r="A149" s="107" t="str">
        <f>'Alexandro Carrasco'!A65</f>
        <v>PSP57</v>
      </c>
      <c r="B149" s="12" t="str">
        <f>'Alexandro Carrasco'!B65</f>
        <v>Ing. Jacobo El Mann Jefif</v>
      </c>
      <c r="C149" s="12" t="str">
        <f>'Alexandro Carrasco'!C65</f>
        <v>Allux (Parks Desarrolladora)</v>
      </c>
      <c r="D149" s="110" t="str">
        <f>'Alexandro Carrasco'!D65</f>
        <v>Ciudad de México</v>
      </c>
      <c r="E149" s="12" t="str">
        <f>'Alexandro Carrasco'!E65</f>
        <v>SFV</v>
      </c>
      <c r="F149" s="108" t="str">
        <f>'Alexandro Carrasco'!F65</f>
        <v>1. Prospección</v>
      </c>
      <c r="G149" s="48">
        <f>'Alexandro Carrasco'!G65</f>
        <v>46057</v>
      </c>
      <c r="H149" s="49" t="str">
        <f>'Alexandro Carrasco'!H65</f>
        <v/>
      </c>
      <c r="I149" s="21" t="str">
        <f>'Alexandro Carrasco'!I65</f>
        <v/>
      </c>
      <c r="J149" s="108" t="str">
        <f>'Alexandro Carrasco'!J65</f>
        <v>LinkedIn (Orgánico)</v>
      </c>
      <c r="K149" s="12" t="str">
        <f>'Alexandro Carrasco'!K65</f>
        <v>Alexandro Carrasco</v>
      </c>
    </row>
    <row r="150" ht="22.5" customHeight="1">
      <c r="A150" s="107" t="str">
        <f>'Alexandro Carrasco'!A66</f>
        <v>PSP58</v>
      </c>
      <c r="B150" s="12" t="str">
        <f>'Alexandro Carrasco'!B66</f>
        <v>Mercedes Delgado / Ma. Teresa Nevárez</v>
      </c>
      <c r="C150" s="12" t="str">
        <f>'Alexandro Carrasco'!C66</f>
        <v>U-calli</v>
      </c>
      <c r="D150" s="110" t="str">
        <f>'Alexandro Carrasco'!D66</f>
        <v>Querétaro</v>
      </c>
      <c r="E150" s="12" t="str">
        <f>'Alexandro Carrasco'!E66</f>
        <v>SFV</v>
      </c>
      <c r="F150" s="108" t="str">
        <f>'Alexandro Carrasco'!F66</f>
        <v>1. Prospección</v>
      </c>
      <c r="G150" s="48">
        <f>'Alexandro Carrasco'!G66</f>
        <v>46057</v>
      </c>
      <c r="H150" s="49" t="str">
        <f>'Alexandro Carrasco'!H66</f>
        <v/>
      </c>
      <c r="I150" s="21" t="str">
        <f>'Alexandro Carrasco'!I66</f>
        <v/>
      </c>
      <c r="J150" s="108" t="str">
        <f>'Alexandro Carrasco'!J66</f>
        <v>LinkedIn (Orgánico)</v>
      </c>
      <c r="K150" s="12" t="str">
        <f>'Alexandro Carrasco'!K66</f>
        <v>Alexandro Carrasco</v>
      </c>
    </row>
    <row r="151" ht="22.5" customHeight="1">
      <c r="A151" s="107" t="str">
        <f>'Alexandro Carrasco'!A67</f>
        <v>PSP49</v>
      </c>
      <c r="B151" s="12" t="str">
        <f>'Alexandro Carrasco'!B67</f>
        <v>Arq. Javier Hernández</v>
      </c>
      <c r="C151" s="12" t="str">
        <f>'Alexandro Carrasco'!C67</f>
        <v>Grupo Shogua</v>
      </c>
      <c r="D151" s="110" t="str">
        <f>'Alexandro Carrasco'!D67</f>
        <v>Merida</v>
      </c>
      <c r="E151" s="12" t="str">
        <f>'Alexandro Carrasco'!E67</f>
        <v>SFV + BC</v>
      </c>
      <c r="F151" s="108" t="str">
        <f>'Alexandro Carrasco'!F67</f>
        <v>1. Prospección</v>
      </c>
      <c r="G151" s="48">
        <f>'Alexandro Carrasco'!G67</f>
        <v>46056</v>
      </c>
      <c r="H151" s="49" t="str">
        <f>'Alexandro Carrasco'!H67</f>
        <v/>
      </c>
      <c r="I151" s="21" t="str">
        <f>'Alexandro Carrasco'!I67</f>
        <v/>
      </c>
      <c r="J151" s="108" t="str">
        <f>'Alexandro Carrasco'!J67</f>
        <v>LinkedIn (Orgánico)</v>
      </c>
      <c r="K151" s="12" t="str">
        <f>'Alexandro Carrasco'!K67</f>
        <v>Alexandro Carrasco</v>
      </c>
    </row>
    <row r="152" ht="22.5" customHeight="1">
      <c r="A152" s="107" t="str">
        <f>'Alexandro Carrasco'!A68</f>
        <v>PSP50</v>
      </c>
      <c r="B152" s="12" t="str">
        <f>'Alexandro Carrasco'!B68</f>
        <v>Liliana Ibáñez</v>
      </c>
      <c r="C152" s="12" t="str">
        <f>'Alexandro Carrasco'!C68</f>
        <v>Hyatt</v>
      </c>
      <c r="D152" s="110" t="str">
        <f>'Alexandro Carrasco'!D68</f>
        <v>Ciudad de México</v>
      </c>
      <c r="E152" s="12" t="str">
        <f>'Alexandro Carrasco'!E68</f>
        <v>SFV y/o BC</v>
      </c>
      <c r="F152" s="108" t="str">
        <f>'Alexandro Carrasco'!F68</f>
        <v>1. Prospección</v>
      </c>
      <c r="G152" s="48">
        <f>'Alexandro Carrasco'!G68</f>
        <v>46056</v>
      </c>
      <c r="H152" s="49" t="str">
        <f>'Alexandro Carrasco'!H68</f>
        <v/>
      </c>
      <c r="I152" s="21" t="str">
        <f>'Alexandro Carrasco'!I68</f>
        <v/>
      </c>
      <c r="J152" s="108" t="str">
        <f>'Alexandro Carrasco'!J68</f>
        <v>LinkedIn (Orgánico)</v>
      </c>
      <c r="K152" s="12" t="str">
        <f>'Alexandro Carrasco'!K68</f>
        <v>Alexandro Carrasco</v>
      </c>
    </row>
    <row r="153" ht="22.5" customHeight="1">
      <c r="A153" s="107" t="str">
        <f>'Alexandro Carrasco'!A69</f>
        <v>PSP51</v>
      </c>
      <c r="B153" s="12" t="str">
        <f>'Alexandro Carrasco'!B69</f>
        <v>Javier Zarfino</v>
      </c>
      <c r="C153" s="12" t="str">
        <f>'Alexandro Carrasco'!C69</f>
        <v>Modulex</v>
      </c>
      <c r="D153" s="110" t="str">
        <f>'Alexandro Carrasco'!D69</f>
        <v>Merida</v>
      </c>
      <c r="E153" s="12" t="str">
        <f>'Alexandro Carrasco'!E69</f>
        <v>SFV</v>
      </c>
      <c r="F153" s="108" t="str">
        <f>'Alexandro Carrasco'!F69</f>
        <v>1. Prospección</v>
      </c>
      <c r="G153" s="48">
        <f>'Alexandro Carrasco'!G69</f>
        <v>46056</v>
      </c>
      <c r="H153" s="49" t="str">
        <f>'Alexandro Carrasco'!H69</f>
        <v/>
      </c>
      <c r="I153" s="21" t="str">
        <f>'Alexandro Carrasco'!I69</f>
        <v/>
      </c>
      <c r="J153" s="108" t="str">
        <f>'Alexandro Carrasco'!J69</f>
        <v>LinkedIn (Orgánico)</v>
      </c>
      <c r="K153" s="12" t="str">
        <f>'Alexandro Carrasco'!K69</f>
        <v>Alexandro Carrasco</v>
      </c>
    </row>
    <row r="154" ht="22.5" customHeight="1">
      <c r="A154" s="107" t="str">
        <f>'Alexandro Carrasco'!A70</f>
        <v>PSP136</v>
      </c>
      <c r="B154" s="12" t="str">
        <f>'Alexandro Carrasco'!B70</f>
        <v>Braulio Enrique Medina</v>
      </c>
      <c r="C154" s="12" t="str">
        <f>'Alexandro Carrasco'!C70</f>
        <v>Torres Corzo</v>
      </c>
      <c r="D154" s="110" t="str">
        <f>'Alexandro Carrasco'!D70</f>
        <v>San Luis Potosí</v>
      </c>
      <c r="E154" s="12" t="str">
        <f>'Alexandro Carrasco'!E70</f>
        <v>SFV</v>
      </c>
      <c r="F154" s="108" t="str">
        <f>'Alexandro Carrasco'!F70</f>
        <v>1. Prospección</v>
      </c>
      <c r="G154" s="48">
        <f>'Alexandro Carrasco'!G70</f>
        <v>46056</v>
      </c>
      <c r="H154" s="49" t="str">
        <f>'Alexandro Carrasco'!H70</f>
        <v/>
      </c>
      <c r="I154" s="21" t="str">
        <f>'Alexandro Carrasco'!I70</f>
        <v/>
      </c>
      <c r="J154" s="108" t="str">
        <f>'Alexandro Carrasco'!J70</f>
        <v>Chat Web / WhatsApp</v>
      </c>
      <c r="K154" s="12" t="str">
        <f>'Alexandro Carrasco'!K70</f>
        <v>Alexandro Carrasco</v>
      </c>
    </row>
    <row r="155" ht="22.5" customHeight="1">
      <c r="A155" s="107" t="str">
        <f>'Alexandro Carrasco'!A71</f>
        <v>PSP27</v>
      </c>
      <c r="B155" s="12" t="str">
        <f>'Alexandro Carrasco'!B71</f>
        <v>Allan Portugal</v>
      </c>
      <c r="C155" s="12" t="str">
        <f>'Alexandro Carrasco'!C71</f>
        <v>PICA Ingeniería</v>
      </c>
      <c r="D155" s="110" t="str">
        <f>'Alexandro Carrasco'!D71</f>
        <v>Leon</v>
      </c>
      <c r="E155" s="12" t="str">
        <f>'Alexandro Carrasco'!E71</f>
        <v>SFV</v>
      </c>
      <c r="F155" s="108" t="str">
        <f>'Alexandro Carrasco'!F71</f>
        <v>1. Prospección</v>
      </c>
      <c r="G155" s="48">
        <f>'Alexandro Carrasco'!G71</f>
        <v>46054</v>
      </c>
      <c r="H155" s="49" t="str">
        <f>'Alexandro Carrasco'!H71</f>
        <v/>
      </c>
      <c r="I155" s="21" t="str">
        <f>'Alexandro Carrasco'!I71</f>
        <v/>
      </c>
      <c r="J155" s="108" t="str">
        <f>'Alexandro Carrasco'!J71</f>
        <v>Visita en Frío (Prospección)</v>
      </c>
      <c r="K155" s="12" t="str">
        <f>'Alexandro Carrasco'!K71</f>
        <v>Alexandro Carrasco</v>
      </c>
    </row>
    <row r="156" ht="22.5" customHeight="1">
      <c r="A156" s="107" t="str">
        <f>'Alexandro Carrasco'!A72</f>
        <v>PSP25</v>
      </c>
      <c r="B156" s="12" t="str">
        <f>'Alexandro Carrasco'!B72</f>
        <v>Jorge Chahín Jr</v>
      </c>
      <c r="C156" s="12" t="str">
        <f>'Alexandro Carrasco'!C72</f>
        <v>Grupo Arquitech</v>
      </c>
      <c r="D156" s="110" t="str">
        <f>'Alexandro Carrasco'!D72</f>
        <v>Ciudad de México</v>
      </c>
      <c r="E156" s="12" t="str">
        <f>'Alexandro Carrasco'!E72</f>
        <v>SFV + BC</v>
      </c>
      <c r="F156" s="108" t="str">
        <f>'Alexandro Carrasco'!F72</f>
        <v>1. Prospección</v>
      </c>
      <c r="G156" s="48">
        <f>'Alexandro Carrasco'!G72</f>
        <v>46052</v>
      </c>
      <c r="H156" s="49" t="str">
        <f>'Alexandro Carrasco'!H72</f>
        <v/>
      </c>
      <c r="I156" s="21" t="str">
        <f>'Alexandro Carrasco'!I72</f>
        <v/>
      </c>
      <c r="J156" s="108" t="str">
        <f>'Alexandro Carrasco'!J72</f>
        <v>Referido (Cliente)</v>
      </c>
      <c r="K156" s="12" t="str">
        <f>'Alexandro Carrasco'!K72</f>
        <v>Alexandro Carrasco</v>
      </c>
    </row>
    <row r="157" ht="22.5" customHeight="1">
      <c r="A157" s="107" t="str">
        <f>'Alexandro Carrasco'!A73</f>
        <v>PSP42</v>
      </c>
      <c r="B157" s="12" t="str">
        <f>'Alexandro Carrasco'!B73</f>
        <v>Estefanía Pérez / Ing. Damián</v>
      </c>
      <c r="C157" s="12" t="str">
        <f>'Alexandro Carrasco'!C73</f>
        <v>Summit Plastics Inc (León, Gto).</v>
      </c>
      <c r="D157" s="12" t="str">
        <f>'Alexandro Carrasco'!D73</f>
        <v/>
      </c>
      <c r="E157" s="12" t="str">
        <f>'Alexandro Carrasco'!E73</f>
        <v>SFV</v>
      </c>
      <c r="F157" s="108" t="str">
        <f>'Alexandro Carrasco'!F73</f>
        <v>1. Prospección</v>
      </c>
      <c r="G157" s="48">
        <f>'Alexandro Carrasco'!G73</f>
        <v>46049</v>
      </c>
      <c r="H157" s="49" t="str">
        <f>'Alexandro Carrasco'!H73</f>
        <v/>
      </c>
      <c r="I157" s="21" t="str">
        <f>'Alexandro Carrasco'!I73</f>
        <v/>
      </c>
      <c r="J157" s="108" t="str">
        <f>'Alexandro Carrasco'!J73</f>
        <v>Llamada en Frío (Prospección)</v>
      </c>
      <c r="K157" s="12" t="str">
        <f>'Alexandro Carrasco'!K73</f>
        <v>Alexandro Carrasco</v>
      </c>
    </row>
    <row r="158" ht="22.5" customHeight="1">
      <c r="A158" s="107" t="str">
        <f>'Alexandro Carrasco'!A74</f>
        <v>PSP43</v>
      </c>
      <c r="B158" s="12" t="str">
        <f>'Alexandro Carrasco'!B74</f>
        <v>Selene Salazar / Ingrid Ramírez</v>
      </c>
      <c r="C158" s="12" t="str">
        <f>'Alexandro Carrasco'!C74</f>
        <v>Techniplas LLC</v>
      </c>
      <c r="D158" s="110" t="str">
        <f>'Alexandro Carrasco'!D74</f>
        <v>Monterrey</v>
      </c>
      <c r="E158" s="12" t="str">
        <f>'Alexandro Carrasco'!E74</f>
        <v>SFV</v>
      </c>
      <c r="F158" s="108" t="str">
        <f>'Alexandro Carrasco'!F74</f>
        <v>2. Contacto Inicial</v>
      </c>
      <c r="G158" s="48">
        <f>'Alexandro Carrasco'!G74</f>
        <v>46049</v>
      </c>
      <c r="H158" s="49" t="str">
        <f>'Alexandro Carrasco'!H74</f>
        <v/>
      </c>
      <c r="I158" s="21" t="str">
        <f>'Alexandro Carrasco'!I74</f>
        <v/>
      </c>
      <c r="J158" s="108" t="str">
        <f>'Alexandro Carrasco'!J74</f>
        <v>Llamada en Frío (Prospección)</v>
      </c>
      <c r="K158" s="12" t="str">
        <f>'Alexandro Carrasco'!K74</f>
        <v>Alexandro Carrasco</v>
      </c>
    </row>
    <row r="159" ht="22.5" customHeight="1">
      <c r="A159" s="107" t="str">
        <f>'Alexandro Carrasco'!A75</f>
        <v>PSP76</v>
      </c>
      <c r="B159" s="12" t="str">
        <f>'Alexandro Carrasco'!B75</f>
        <v>Ing. Thomas Ochman</v>
      </c>
      <c r="C159" s="12" t="str">
        <f>'Alexandro Carrasco'!C75</f>
        <v>Dipasa (Industria Ajonjolí)</v>
      </c>
      <c r="D159" s="12" t="str">
        <f>'Alexandro Carrasco'!D75</f>
        <v>Cortázar, Gto.</v>
      </c>
      <c r="E159" s="12" t="str">
        <f>'Alexandro Carrasco'!E75</f>
        <v>SFV</v>
      </c>
      <c r="F159" s="108" t="str">
        <f>'Alexandro Carrasco'!F75</f>
        <v>1. Prospección</v>
      </c>
      <c r="G159" s="48">
        <f>'Alexandro Carrasco'!G75</f>
        <v>46048</v>
      </c>
      <c r="H159" s="49" t="str">
        <f>'Alexandro Carrasco'!H75</f>
        <v/>
      </c>
      <c r="I159" s="21" t="str">
        <f>'Alexandro Carrasco'!I75</f>
        <v/>
      </c>
      <c r="J159" s="108" t="str">
        <f>'Alexandro Carrasco'!J75</f>
        <v>Llamada en Frío (Prospección)</v>
      </c>
      <c r="K159" s="12" t="str">
        <f>'Alexandro Carrasco'!K75</f>
        <v>Alexandro Carrasco</v>
      </c>
    </row>
    <row r="160" ht="22.5" customHeight="1">
      <c r="A160" s="107" t="str">
        <f>'Alexandro Carrasco'!A76</f>
        <v>PSP20</v>
      </c>
      <c r="B160" s="12" t="str">
        <f>'Alexandro Carrasco'!B76</f>
        <v>Jonathan Ohana</v>
      </c>
      <c r="C160" s="12" t="str">
        <f>'Alexandro Carrasco'!C76</f>
        <v>Pier Gary Aaron</v>
      </c>
      <c r="D160" s="110" t="str">
        <f>'Alexandro Carrasco'!D76</f>
        <v>Cuernavaca</v>
      </c>
      <c r="E160" s="12" t="str">
        <f>'Alexandro Carrasco'!E76</f>
        <v>SFV</v>
      </c>
      <c r="F160" s="108" t="str">
        <f>'Alexandro Carrasco'!F76</f>
        <v>8. Propuesta Enviada</v>
      </c>
      <c r="G160" s="48">
        <f>'Alexandro Carrasco'!G76</f>
        <v>46043</v>
      </c>
      <c r="H160" s="49">
        <f>'Alexandro Carrasco'!H76</f>
        <v>15458</v>
      </c>
      <c r="I160" s="21" t="str">
        <f>'Alexandro Carrasco'!I76</f>
        <v/>
      </c>
      <c r="J160" s="108" t="str">
        <f>'Alexandro Carrasco'!J76</f>
        <v>Llamada en Frío (Prospección)</v>
      </c>
      <c r="K160" s="12" t="str">
        <f>'Alexandro Carrasco'!K76</f>
        <v>Alexandro Carrasco</v>
      </c>
    </row>
    <row r="161" ht="22.5" customHeight="1">
      <c r="A161" s="107" t="str">
        <f>'Alexandro Carrasco'!A77</f>
        <v>PSP21</v>
      </c>
      <c r="B161" s="12" t="str">
        <f>'Alexandro Carrasco'!B77</f>
        <v>Jonathan Ohana</v>
      </c>
      <c r="C161" s="12" t="str">
        <f>'Alexandro Carrasco'!C77</f>
        <v>Pier Gary Aaron</v>
      </c>
      <c r="D161" s="110" t="str">
        <f>'Alexandro Carrasco'!D77</f>
        <v>Cuernavaca</v>
      </c>
      <c r="E161" s="12" t="str">
        <f>'Alexandro Carrasco'!E77</f>
        <v>BC</v>
      </c>
      <c r="F161" s="108" t="str">
        <f>'Alexandro Carrasco'!F77</f>
        <v>6. Diseño de Solución / Pre-Ingeniería</v>
      </c>
      <c r="G161" s="48">
        <f>'Alexandro Carrasco'!G77</f>
        <v>46043</v>
      </c>
      <c r="H161" s="49" t="str">
        <f>'Alexandro Carrasco'!H77</f>
        <v/>
      </c>
      <c r="I161" s="21" t="str">
        <f>'Alexandro Carrasco'!I77</f>
        <v/>
      </c>
      <c r="J161" s="108" t="str">
        <f>'Alexandro Carrasco'!J77</f>
        <v>Llamada en Frío (Prospección)</v>
      </c>
      <c r="K161" s="12" t="str">
        <f>'Alexandro Carrasco'!K77</f>
        <v>Alexandro Carrasco</v>
      </c>
    </row>
    <row r="162" ht="22.5" customHeight="1">
      <c r="A162" s="107" t="str">
        <f>'Alexandro Carrasco'!A78</f>
        <v>PSP15</v>
      </c>
      <c r="B162" s="12" t="str">
        <f>'Alexandro Carrasco'!B78</f>
        <v>Arq. Ana Karen Caudillo</v>
      </c>
      <c r="C162" s="12" t="str">
        <f>'Alexandro Carrasco'!C78</f>
        <v>W &amp; J Construction</v>
      </c>
      <c r="D162" s="12" t="str">
        <f>'Alexandro Carrasco'!D78</f>
        <v/>
      </c>
      <c r="E162" s="12" t="str">
        <f>'Alexandro Carrasco'!E78</f>
        <v>SFV</v>
      </c>
      <c r="F162" s="108" t="str">
        <f>'Alexandro Carrasco'!F78</f>
        <v>8. Propuesta Enviada</v>
      </c>
      <c r="G162" s="48">
        <f>'Alexandro Carrasco'!G78</f>
        <v>46038</v>
      </c>
      <c r="H162" s="49">
        <f>'Alexandro Carrasco'!H78</f>
        <v>169705</v>
      </c>
      <c r="I162" s="21" t="str">
        <f>'Alexandro Carrasco'!I78</f>
        <v/>
      </c>
      <c r="J162" s="108" t="str">
        <f>'Alexandro Carrasco'!J78</f>
        <v>Llamada en Frío (Prospección)</v>
      </c>
      <c r="K162" s="12" t="str">
        <f>'Alexandro Carrasco'!K78</f>
        <v>Alexandro Carrasco</v>
      </c>
    </row>
    <row r="163" ht="22.5" customHeight="1">
      <c r="A163" s="107" t="str">
        <f>'Alexandro Carrasco'!A79</f>
        <v>PSP17</v>
      </c>
      <c r="B163" s="12" t="str">
        <f>'Alexandro Carrasco'!B79</f>
        <v>Ing. Valentín Caballero</v>
      </c>
      <c r="C163" s="12" t="str">
        <f>'Alexandro Carrasco'!C79</f>
        <v>Nestlé Purina Silao</v>
      </c>
      <c r="D163" s="110" t="str">
        <f>'Alexandro Carrasco'!D79</f>
        <v>Silao</v>
      </c>
      <c r="E163" s="12" t="str">
        <f>'Alexandro Carrasco'!E79</f>
        <v>SFV</v>
      </c>
      <c r="F163" s="108" t="str">
        <f>'Alexandro Carrasco'!F79</f>
        <v>8. Propuesta Enviada</v>
      </c>
      <c r="G163" s="48">
        <f>'Alexandro Carrasco'!G79</f>
        <v>46035</v>
      </c>
      <c r="H163" s="49">
        <f>'Alexandro Carrasco'!H79</f>
        <v>592418</v>
      </c>
      <c r="I163" s="21" t="str">
        <f>'Alexandro Carrasco'!I79</f>
        <v/>
      </c>
      <c r="J163" s="108" t="str">
        <f>'Alexandro Carrasco'!J79</f>
        <v>Llamada en Frío (Prospección)</v>
      </c>
      <c r="K163" s="12" t="str">
        <f>'Alexandro Carrasco'!K79</f>
        <v>Alexandro Carrasco</v>
      </c>
    </row>
    <row r="164" ht="22.5" customHeight="1">
      <c r="A164" s="107" t="str">
        <f>'Alexandro Carrasco'!A80</f>
        <v>PSP91</v>
      </c>
      <c r="B164" s="12" t="str">
        <f>'Alexandro Carrasco'!B80</f>
        <v>Arq. Jachen Schleich</v>
      </c>
      <c r="C164" s="12" t="str">
        <f>'Alexandro Carrasco'!C80</f>
        <v>Centro de Convenciones Tabasco</v>
      </c>
      <c r="D164" s="110" t="str">
        <f>'Alexandro Carrasco'!D80</f>
        <v>Tabasco</v>
      </c>
      <c r="E164" s="12" t="str">
        <f>'Alexandro Carrasco'!E80</f>
        <v>SFV</v>
      </c>
      <c r="F164" s="108" t="str">
        <f>'Alexandro Carrasco'!F80</f>
        <v>1. Prospección</v>
      </c>
      <c r="G164" s="48">
        <f>'Alexandro Carrasco'!G80</f>
        <v>46034</v>
      </c>
      <c r="H164" s="49" t="str">
        <f>'Alexandro Carrasco'!H80</f>
        <v/>
      </c>
      <c r="I164" s="21" t="str">
        <f>'Alexandro Carrasco'!I80</f>
        <v/>
      </c>
      <c r="J164" s="108" t="str">
        <f>'Alexandro Carrasco'!J80</f>
        <v>Referido (Cliente)</v>
      </c>
      <c r="K164" s="12" t="str">
        <f>'Alexandro Carrasco'!K80</f>
        <v>Alexandro Carrasco</v>
      </c>
    </row>
    <row r="165" ht="22.5" customHeight="1">
      <c r="A165" s="107" t="str">
        <f>'Alexandro Carrasco'!A81</f>
        <v>PSP122</v>
      </c>
      <c r="B165" s="12" t="str">
        <f>'Alexandro Carrasco'!B81</f>
        <v/>
      </c>
      <c r="C165" s="12" t="str">
        <f>'Alexandro Carrasco'!C81</f>
        <v>Grupo Torus</v>
      </c>
      <c r="D165" s="110" t="str">
        <f>'Alexandro Carrasco'!D81</f>
        <v>Querétaro</v>
      </c>
      <c r="E165" s="12" t="str">
        <f>'Alexandro Carrasco'!E81</f>
        <v>SFV</v>
      </c>
      <c r="F165" s="108" t="str">
        <f>'Alexandro Carrasco'!F81</f>
        <v>1. Prospección</v>
      </c>
      <c r="G165" s="48">
        <f>'Alexandro Carrasco'!G81</f>
        <v>46034</v>
      </c>
      <c r="H165" s="49" t="str">
        <f>'Alexandro Carrasco'!H81</f>
        <v/>
      </c>
      <c r="I165" s="21" t="str">
        <f>'Alexandro Carrasco'!I81</f>
        <v/>
      </c>
      <c r="J165" s="108" t="str">
        <f>'Alexandro Carrasco'!J81</f>
        <v>Redes Sociales (Facebook/Instagram)</v>
      </c>
      <c r="K165" s="12" t="str">
        <f>'Alexandro Carrasco'!K81</f>
        <v>Alexandro Carrasco</v>
      </c>
    </row>
    <row r="166" ht="22.5" customHeight="1">
      <c r="A166" s="107" t="str">
        <f>'Alexandro Carrasco'!A82</f>
        <v>PSP44</v>
      </c>
      <c r="B166" s="12" t="str">
        <f>'Alexandro Carrasco'!B82</f>
        <v>Javier Torres</v>
      </c>
      <c r="C166" s="12" t="str">
        <f>'Alexandro Carrasco'!C82</f>
        <v>Lakasa Inmobiliaria</v>
      </c>
      <c r="D166" s="110" t="str">
        <f>'Alexandro Carrasco'!D82</f>
        <v>Bajío</v>
      </c>
      <c r="E166" s="12" t="str">
        <f>'Alexandro Carrasco'!E82</f>
        <v>SFV + BC</v>
      </c>
      <c r="F166" s="108" t="str">
        <f>'Alexandro Carrasco'!F82</f>
        <v>1. Prospección</v>
      </c>
      <c r="G166" s="48">
        <f>'Alexandro Carrasco'!G82</f>
        <v>46030</v>
      </c>
      <c r="H166" s="49" t="str">
        <f>'Alexandro Carrasco'!H82</f>
        <v/>
      </c>
      <c r="I166" s="21" t="str">
        <f>'Alexandro Carrasco'!I82</f>
        <v/>
      </c>
      <c r="J166" s="108" t="str">
        <f>'Alexandro Carrasco'!J82</f>
        <v>LinkedIn (Orgánico)</v>
      </c>
      <c r="K166" s="12" t="str">
        <f>'Alexandro Carrasco'!K82</f>
        <v>Alexandro Carrasco</v>
      </c>
    </row>
    <row r="167" ht="22.5" customHeight="1">
      <c r="A167" s="107" t="str">
        <f>'Alexandro Carrasco'!A83</f>
        <v>PSP124</v>
      </c>
      <c r="B167" s="12" t="str">
        <f>'Alexandro Carrasco'!B83</f>
        <v>Rocío Domínguez</v>
      </c>
      <c r="C167" s="12" t="str">
        <f>'Alexandro Carrasco'!C83</f>
        <v>idePrint</v>
      </c>
      <c r="D167" s="110" t="str">
        <f>'Alexandro Carrasco'!D83</f>
        <v>Monterrey</v>
      </c>
      <c r="E167" s="12" t="str">
        <f>'Alexandro Carrasco'!E83</f>
        <v>SFV</v>
      </c>
      <c r="F167" s="108" t="str">
        <f>'Alexandro Carrasco'!F83</f>
        <v>1. Prospección</v>
      </c>
      <c r="G167" s="48">
        <f>'Alexandro Carrasco'!G83</f>
        <v>46029</v>
      </c>
      <c r="H167" s="49" t="str">
        <f>'Alexandro Carrasco'!H83</f>
        <v/>
      </c>
      <c r="I167" s="21" t="str">
        <f>'Alexandro Carrasco'!I83</f>
        <v/>
      </c>
      <c r="J167" s="108" t="str">
        <f>'Alexandro Carrasco'!J83</f>
        <v>Chat Web / WhatsApp</v>
      </c>
      <c r="K167" s="12" t="str">
        <f>'Alexandro Carrasco'!K83</f>
        <v>Alexandro Carrasco</v>
      </c>
    </row>
    <row r="168" ht="22.5" customHeight="1">
      <c r="A168" s="107" t="str">
        <f>'Alexandro Carrasco'!A84</f>
        <v/>
      </c>
      <c r="B168" s="12" t="str">
        <f>'Alexandro Carrasco'!B84</f>
        <v>Lic. Rubén Mugártegui</v>
      </c>
      <c r="C168" s="12" t="str">
        <f>'Alexandro Carrasco'!C84</f>
        <v>Amazon</v>
      </c>
      <c r="D168" s="12" t="str">
        <f>'Alexandro Carrasco'!D84</f>
        <v/>
      </c>
      <c r="E168" s="12" t="str">
        <f>'Alexandro Carrasco'!E84</f>
        <v>SFV</v>
      </c>
      <c r="F168" s="108" t="str">
        <f>'Alexandro Carrasco'!F84</f>
        <v>1. Prospección</v>
      </c>
      <c r="G168" s="48">
        <f>'Alexandro Carrasco'!G84</f>
        <v>46029</v>
      </c>
      <c r="H168" s="49" t="str">
        <f>'Alexandro Carrasco'!H84</f>
        <v/>
      </c>
      <c r="I168" s="21" t="str">
        <f>'Alexandro Carrasco'!I84</f>
        <v/>
      </c>
      <c r="J168" s="108" t="str">
        <f>'Alexandro Carrasco'!J84</f>
        <v>LinkedIn (Orgánico)</v>
      </c>
      <c r="K168" s="12" t="str">
        <f>'Alexandro Carrasco'!K84</f>
        <v>Alexandro Carrasco</v>
      </c>
    </row>
    <row r="169" ht="22.5" customHeight="1">
      <c r="A169" s="107" t="str">
        <f>'Alexandro Carrasco'!A85</f>
        <v>PSP125</v>
      </c>
      <c r="B169" s="12" t="str">
        <f>'Alexandro Carrasco'!B85</f>
        <v>Itzel Dasa</v>
      </c>
      <c r="C169" s="12" t="str">
        <f>'Alexandro Carrasco'!C85</f>
        <v>gknpm</v>
      </c>
      <c r="D169" s="110" t="str">
        <f>'Alexandro Carrasco'!D85</f>
        <v>Apaseo el Grande</v>
      </c>
      <c r="E169" s="12" t="str">
        <f>'Alexandro Carrasco'!E85</f>
        <v>SFV</v>
      </c>
      <c r="F169" s="108" t="str">
        <f>'Alexandro Carrasco'!F85</f>
        <v>1. Prospección</v>
      </c>
      <c r="G169" s="48">
        <f>'Alexandro Carrasco'!G85</f>
        <v>46028</v>
      </c>
      <c r="H169" s="49" t="str">
        <f>'Alexandro Carrasco'!H85</f>
        <v/>
      </c>
      <c r="I169" s="21" t="str">
        <f>'Alexandro Carrasco'!I85</f>
        <v/>
      </c>
      <c r="J169" s="108" t="str">
        <f>'Alexandro Carrasco'!J85</f>
        <v>Chat Web / WhatsApp</v>
      </c>
      <c r="K169" s="12" t="str">
        <f>'Alexandro Carrasco'!K85</f>
        <v>Alexandro Carrasco</v>
      </c>
    </row>
    <row r="170" ht="22.5" customHeight="1">
      <c r="A170" s="107" t="str">
        <f>'Alexandro Carrasco'!A86</f>
        <v/>
      </c>
      <c r="B170" s="12" t="str">
        <f>'Alexandro Carrasco'!B86</f>
        <v>OMAR ALEXIS GARCÍA</v>
      </c>
      <c r="C170" s="12" t="str">
        <f>'Alexandro Carrasco'!C86</f>
        <v>FINSA</v>
      </c>
      <c r="D170" s="12" t="str">
        <f>'Alexandro Carrasco'!D86</f>
        <v/>
      </c>
      <c r="E170" s="12" t="str">
        <f>'Alexandro Carrasco'!E86</f>
        <v>SFV</v>
      </c>
      <c r="F170" s="108" t="str">
        <f>'Alexandro Carrasco'!F86</f>
        <v>1. Prospección</v>
      </c>
      <c r="G170" s="48">
        <f>'Alexandro Carrasco'!G86</f>
        <v>46018</v>
      </c>
      <c r="H170" s="49" t="str">
        <f>'Alexandro Carrasco'!H86</f>
        <v/>
      </c>
      <c r="I170" s="21" t="str">
        <f>'Alexandro Carrasco'!I86</f>
        <v/>
      </c>
      <c r="J170" s="108" t="str">
        <f>'Alexandro Carrasco'!J86</f>
        <v>Llamada en Frío (Prospección)</v>
      </c>
      <c r="K170" s="12" t="str">
        <f>'Alexandro Carrasco'!K86</f>
        <v>Alexandro Carrasco</v>
      </c>
    </row>
    <row r="171" ht="22.5" customHeight="1">
      <c r="A171" s="107" t="str">
        <f>'Alexandro Carrasco'!A87</f>
        <v/>
      </c>
      <c r="B171" s="12" t="str">
        <f>'Alexandro Carrasco'!B87</f>
        <v>Srta. Godínez</v>
      </c>
      <c r="C171" s="12" t="str">
        <f>'Alexandro Carrasco'!C87</f>
        <v>sarfrut</v>
      </c>
      <c r="D171" s="110" t="str">
        <f>'Alexandro Carrasco'!D87</f>
        <v>Estado de México</v>
      </c>
      <c r="E171" s="12" t="str">
        <f>'Alexandro Carrasco'!E87</f>
        <v>SFV</v>
      </c>
      <c r="F171" s="108" t="str">
        <f>'Alexandro Carrasco'!F87</f>
        <v>1. Prospección</v>
      </c>
      <c r="G171" s="48">
        <f>'Alexandro Carrasco'!G87</f>
        <v>46018</v>
      </c>
      <c r="H171" s="49" t="str">
        <f>'Alexandro Carrasco'!H87</f>
        <v/>
      </c>
      <c r="I171" s="21" t="str">
        <f>'Alexandro Carrasco'!I87</f>
        <v/>
      </c>
      <c r="J171" s="108" t="str">
        <f>'Alexandro Carrasco'!J87</f>
        <v>Portal de Compras (Cliente)</v>
      </c>
      <c r="K171" s="12" t="str">
        <f>'Alexandro Carrasco'!K87</f>
        <v>Alexandro Carrasco</v>
      </c>
    </row>
    <row r="172" ht="22.5" customHeight="1">
      <c r="A172" s="107" t="str">
        <f>'Alexandro Carrasco'!A88</f>
        <v/>
      </c>
      <c r="B172" s="12" t="str">
        <f>'Alexandro Carrasco'!B88</f>
        <v>JOAN BUSQUETS</v>
      </c>
      <c r="C172" s="12" t="str">
        <f>'Alexandro Carrasco'!C88</f>
        <v>NISSAN</v>
      </c>
      <c r="D172" s="110" t="str">
        <f>'Alexandro Carrasco'!D88</f>
        <v>Aguascalientes</v>
      </c>
      <c r="E172" s="12" t="str">
        <f>'Alexandro Carrasco'!E88</f>
        <v>SFV</v>
      </c>
      <c r="F172" s="108" t="str">
        <f>'Alexandro Carrasco'!F88</f>
        <v>1. Prospección</v>
      </c>
      <c r="G172" s="48">
        <f>'Alexandro Carrasco'!G88</f>
        <v>46010</v>
      </c>
      <c r="H172" s="49" t="str">
        <f>'Alexandro Carrasco'!H88</f>
        <v/>
      </c>
      <c r="I172" s="21" t="str">
        <f>'Alexandro Carrasco'!I88</f>
        <v/>
      </c>
      <c r="J172" s="108" t="str">
        <f>'Alexandro Carrasco'!J88</f>
        <v>LinkedIn (Orgánico)</v>
      </c>
      <c r="K172" s="12" t="str">
        <f>'Alexandro Carrasco'!K88</f>
        <v>Alexandro Carrasco</v>
      </c>
    </row>
    <row r="173" ht="22.5" customHeight="1">
      <c r="A173" s="107" t="str">
        <f>'Alexandro Carrasco'!A89</f>
        <v>PSP38</v>
      </c>
      <c r="B173" s="12" t="str">
        <f>'Alexandro Carrasco'!B89</f>
        <v>Itzel Santibáñez / Jacqueline Mendoza /Monserrat Vázquez</v>
      </c>
      <c r="C173" s="12" t="str">
        <f>'Alexandro Carrasco'!C89</f>
        <v>AGC Automotive</v>
      </c>
      <c r="D173" s="110" t="str">
        <f>'Alexandro Carrasco'!D89</f>
        <v>San Luis Potosí</v>
      </c>
      <c r="E173" s="12" t="str">
        <f>'Alexandro Carrasco'!E89</f>
        <v>SFV</v>
      </c>
      <c r="F173" s="108" t="str">
        <f>'Alexandro Carrasco'!F89</f>
        <v>1. Prospección</v>
      </c>
      <c r="G173" s="48">
        <f>'Alexandro Carrasco'!G89</f>
        <v>46009</v>
      </c>
      <c r="H173" s="49" t="str">
        <f>'Alexandro Carrasco'!H89</f>
        <v/>
      </c>
      <c r="I173" s="21" t="str">
        <f>'Alexandro Carrasco'!I89</f>
        <v/>
      </c>
      <c r="J173" s="108" t="str">
        <f>'Alexandro Carrasco'!J89</f>
        <v>Llamada en Frío (Prospección)</v>
      </c>
      <c r="K173" s="12" t="str">
        <f>'Alexandro Carrasco'!K89</f>
        <v>Alexandro Carrasco</v>
      </c>
    </row>
    <row r="174" ht="22.5" customHeight="1">
      <c r="A174" s="107" t="str">
        <f>'Alexandro Carrasco'!A90</f>
        <v>PSP39</v>
      </c>
      <c r="B174" s="12" t="str">
        <f>'Alexandro Carrasco'!B90</f>
        <v>San Juanita Cerda / Arturo Cárdenas</v>
      </c>
      <c r="C174" s="12" t="str">
        <f>'Alexandro Carrasco'!C90</f>
        <v>Nippon Seiki International</v>
      </c>
      <c r="D174" s="110" t="str">
        <f>'Alexandro Carrasco'!D90</f>
        <v>Monterrey</v>
      </c>
      <c r="E174" s="12" t="str">
        <f>'Alexandro Carrasco'!E90</f>
        <v>SFV</v>
      </c>
      <c r="F174" s="108" t="str">
        <f>'Alexandro Carrasco'!F90</f>
        <v>1. Prospección</v>
      </c>
      <c r="G174" s="48">
        <f>'Alexandro Carrasco'!G90</f>
        <v>46009</v>
      </c>
      <c r="H174" s="49" t="str">
        <f>'Alexandro Carrasco'!H90</f>
        <v/>
      </c>
      <c r="I174" s="21" t="str">
        <f>'Alexandro Carrasco'!I90</f>
        <v/>
      </c>
      <c r="J174" s="108" t="str">
        <f>'Alexandro Carrasco'!J90</f>
        <v>Llamada en Frío (Prospección)</v>
      </c>
      <c r="K174" s="12" t="str">
        <f>'Alexandro Carrasco'!K90</f>
        <v>Alexandro Carrasco</v>
      </c>
    </row>
    <row r="175" ht="22.5" customHeight="1">
      <c r="A175" s="107" t="str">
        <f>'Alexandro Carrasco'!A91</f>
        <v>PSP40</v>
      </c>
      <c r="B175" s="12" t="str">
        <f>'Alexandro Carrasco'!B91</f>
        <v>Rocío González / Rodolfo Beltrán / Alma Rosales</v>
      </c>
      <c r="C175" s="12" t="str">
        <f>'Alexandro Carrasco'!C91</f>
        <v>Piston Interiors LLC</v>
      </c>
      <c r="D175" s="12" t="str">
        <f>'Alexandro Carrasco'!D91</f>
        <v/>
      </c>
      <c r="E175" s="12" t="str">
        <f>'Alexandro Carrasco'!E91</f>
        <v>SFV</v>
      </c>
      <c r="F175" s="108" t="str">
        <f>'Alexandro Carrasco'!F91</f>
        <v>1. Prospección</v>
      </c>
      <c r="G175" s="48">
        <f>'Alexandro Carrasco'!G91</f>
        <v>46009</v>
      </c>
      <c r="H175" s="49" t="str">
        <f>'Alexandro Carrasco'!H91</f>
        <v/>
      </c>
      <c r="I175" s="21" t="str">
        <f>'Alexandro Carrasco'!I91</f>
        <v/>
      </c>
      <c r="J175" s="108" t="str">
        <f>'Alexandro Carrasco'!J91</f>
        <v>Llamada en Frío (Prospección)</v>
      </c>
      <c r="K175" s="12" t="str">
        <f>'Alexandro Carrasco'!K91</f>
        <v>Alexandro Carrasco</v>
      </c>
    </row>
    <row r="176" ht="22.5" customHeight="1">
      <c r="A176" s="107" t="str">
        <f>'Alexandro Carrasco'!A92</f>
        <v>PSP41</v>
      </c>
      <c r="B176" s="12" t="str">
        <f>'Alexandro Carrasco'!B92</f>
        <v>Christian Sánchez / Leticia Lima</v>
      </c>
      <c r="C176" s="12" t="str">
        <f>'Alexandro Carrasco'!C92</f>
        <v>Axalta Coating Systems </v>
      </c>
      <c r="D176" s="110" t="str">
        <f>'Alexandro Carrasco'!D92</f>
        <v>Ciudad de México</v>
      </c>
      <c r="E176" s="12" t="str">
        <f>'Alexandro Carrasco'!E92</f>
        <v>SFV</v>
      </c>
      <c r="F176" s="108" t="str">
        <f>'Alexandro Carrasco'!F92</f>
        <v>2. Contacto Inicial</v>
      </c>
      <c r="G176" s="48">
        <f>'Alexandro Carrasco'!G92</f>
        <v>46009</v>
      </c>
      <c r="H176" s="49" t="str">
        <f>'Alexandro Carrasco'!H92</f>
        <v/>
      </c>
      <c r="I176" s="21" t="str">
        <f>'Alexandro Carrasco'!I92</f>
        <v/>
      </c>
      <c r="J176" s="108" t="str">
        <f>'Alexandro Carrasco'!J92</f>
        <v>Llamada en Frío (Prospección)</v>
      </c>
      <c r="K176" s="12" t="str">
        <f>'Alexandro Carrasco'!K92</f>
        <v>Alexandro Carrasco</v>
      </c>
    </row>
    <row r="177" ht="22.5" customHeight="1">
      <c r="A177" s="107" t="str">
        <f>'Alexandro Carrasco'!A93</f>
        <v>PSP37</v>
      </c>
      <c r="B177" s="12" t="str">
        <f>'Alexandro Carrasco'!B93</f>
        <v>Libna Muñoz / René Flores / Mónica Hernández</v>
      </c>
      <c r="C177" s="12" t="str">
        <f>'Alexandro Carrasco'!C93</f>
        <v>Summit Polymers </v>
      </c>
      <c r="D177" s="110" t="str">
        <f>'Alexandro Carrasco'!D93</f>
        <v>Querétaro</v>
      </c>
      <c r="E177" s="12" t="str">
        <f>'Alexandro Carrasco'!E93</f>
        <v>SFV</v>
      </c>
      <c r="F177" s="108" t="str">
        <f>'Alexandro Carrasco'!F93</f>
        <v>1. Prospección</v>
      </c>
      <c r="G177" s="48">
        <f>'Alexandro Carrasco'!G93</f>
        <v>46008</v>
      </c>
      <c r="H177" s="49" t="str">
        <f>'Alexandro Carrasco'!H93</f>
        <v/>
      </c>
      <c r="I177" s="21" t="str">
        <f>'Alexandro Carrasco'!I93</f>
        <v/>
      </c>
      <c r="J177" s="108" t="str">
        <f>'Alexandro Carrasco'!J93</f>
        <v>Llamada en Frío (Prospección)</v>
      </c>
      <c r="K177" s="12" t="str">
        <f>'Alexandro Carrasco'!K93</f>
        <v>Alexandro Carrasco</v>
      </c>
    </row>
    <row r="178" ht="22.5" customHeight="1">
      <c r="A178" s="107" t="str">
        <f>'Alexandro Carrasco'!A94</f>
        <v>PSP116</v>
      </c>
      <c r="B178" s="12" t="str">
        <f>'Alexandro Carrasco'!B94</f>
        <v>Administración</v>
      </c>
      <c r="C178" s="12" t="str">
        <f>'Alexandro Carrasco'!C94</f>
        <v>Hotel Mercury</v>
      </c>
      <c r="D178" s="110" t="str">
        <f>'Alexandro Carrasco'!D94</f>
        <v>Querétaro</v>
      </c>
      <c r="E178" s="12" t="str">
        <f>'Alexandro Carrasco'!E94</f>
        <v>SFV</v>
      </c>
      <c r="F178" s="108" t="str">
        <f>'Alexandro Carrasco'!F94</f>
        <v>1. Prospección</v>
      </c>
      <c r="G178" s="48">
        <f>'Alexandro Carrasco'!G94</f>
        <v>46006</v>
      </c>
      <c r="H178" s="49" t="str">
        <f>'Alexandro Carrasco'!H94</f>
        <v/>
      </c>
      <c r="I178" s="21" t="str">
        <f>'Alexandro Carrasco'!I94</f>
        <v/>
      </c>
      <c r="J178" s="108" t="str">
        <f>'Alexandro Carrasco'!J94</f>
        <v>Visita en Frío (Prospección)</v>
      </c>
      <c r="K178" s="12" t="str">
        <f>'Alexandro Carrasco'!K94</f>
        <v>Alexandro Carrasco</v>
      </c>
    </row>
    <row r="179" ht="22.5" customHeight="1">
      <c r="A179" s="107" t="str">
        <f>'Alexandro Carrasco'!A95</f>
        <v>PSP26</v>
      </c>
      <c r="B179" s="12" t="str">
        <f>'Alexandro Carrasco'!B95</f>
        <v>Alexander LeNoir</v>
      </c>
      <c r="C179" s="12" t="str">
        <f>'Alexandro Carrasco'!C95</f>
        <v>LeNoir &amp; Asociados</v>
      </c>
      <c r="D179" s="110" t="str">
        <f>'Alexandro Carrasco'!D95</f>
        <v>Monterrey</v>
      </c>
      <c r="E179" s="12" t="str">
        <f>'Alexandro Carrasco'!E95</f>
        <v>BiPV</v>
      </c>
      <c r="F179" s="108" t="str">
        <f>'Alexandro Carrasco'!F95</f>
        <v>2. Contacto Inicial</v>
      </c>
      <c r="G179" s="48">
        <f>'Alexandro Carrasco'!G95</f>
        <v>46001</v>
      </c>
      <c r="H179" s="49" t="str">
        <f>'Alexandro Carrasco'!H95</f>
        <v/>
      </c>
      <c r="I179" s="21" t="str">
        <f>'Alexandro Carrasco'!I95</f>
        <v/>
      </c>
      <c r="J179" s="108" t="str">
        <f>'Alexandro Carrasco'!J95</f>
        <v>LinkedIn (Orgánico)</v>
      </c>
      <c r="K179" s="12" t="str">
        <f>'Alexandro Carrasco'!K95</f>
        <v>Alexandro Carrasco</v>
      </c>
    </row>
    <row r="180" ht="22.5" customHeight="1">
      <c r="A180" s="107" t="str">
        <f>'Alexandro Carrasco'!A96</f>
        <v/>
      </c>
      <c r="B180" s="12" t="str">
        <f>'Alexandro Carrasco'!B96</f>
        <v>Lic. Rodolfo Camargo</v>
      </c>
      <c r="C180" s="12" t="str">
        <f>'Alexandro Carrasco'!C96</f>
        <v>El Crysol</v>
      </c>
      <c r="D180" s="110" t="str">
        <f>'Alexandro Carrasco'!D96</f>
        <v>Bajío</v>
      </c>
      <c r="E180" s="12" t="str">
        <f>'Alexandro Carrasco'!E96</f>
        <v>SFV</v>
      </c>
      <c r="F180" s="108" t="str">
        <f>'Alexandro Carrasco'!F96</f>
        <v>1. Prospección</v>
      </c>
      <c r="G180" s="48">
        <f>'Alexandro Carrasco'!G96</f>
        <v>45996</v>
      </c>
      <c r="H180" s="49" t="str">
        <f>'Alexandro Carrasco'!H96</f>
        <v/>
      </c>
      <c r="I180" s="21" t="str">
        <f>'Alexandro Carrasco'!I96</f>
        <v/>
      </c>
      <c r="J180" s="108" t="str">
        <f>'Alexandro Carrasco'!J96</f>
        <v>Llamada en Frío (Prospección)</v>
      </c>
      <c r="K180" s="12" t="str">
        <f>'Alexandro Carrasco'!K96</f>
        <v>Alexandro Carrasco</v>
      </c>
    </row>
    <row r="181" ht="22.5" customHeight="1">
      <c r="A181" s="107" t="str">
        <f>'Alexandro Carrasco'!A97</f>
        <v>PSP69</v>
      </c>
      <c r="B181" s="12" t="str">
        <f>'Alexandro Carrasco'!B97</f>
        <v>Lic. Marco Romo</v>
      </c>
      <c r="C181" s="12" t="str">
        <f>'Alexandro Carrasco'!C97</f>
        <v>Grupo Amistad</v>
      </c>
      <c r="D181" s="110" t="str">
        <f>'Alexandro Carrasco'!D97</f>
        <v>Coahuila</v>
      </c>
      <c r="E181" s="12" t="str">
        <f>'Alexandro Carrasco'!E97</f>
        <v>SFV</v>
      </c>
      <c r="F181" s="108" t="str">
        <f>'Alexandro Carrasco'!F97</f>
        <v>1. Prospección</v>
      </c>
      <c r="G181" s="48">
        <f>'Alexandro Carrasco'!G97</f>
        <v>45992</v>
      </c>
      <c r="H181" s="49" t="str">
        <f>'Alexandro Carrasco'!H97</f>
        <v/>
      </c>
      <c r="I181" s="21" t="str">
        <f>'Alexandro Carrasco'!I97</f>
        <v/>
      </c>
      <c r="J181" s="108" t="str">
        <f>'Alexandro Carrasco'!J97</f>
        <v>LinkedIn (Orgánico)</v>
      </c>
      <c r="K181" s="12" t="str">
        <f>'Alexandro Carrasco'!K97</f>
        <v>Alexandro Carrasco</v>
      </c>
    </row>
    <row r="182" ht="22.5" customHeight="1">
      <c r="A182" s="107" t="str">
        <f>'Alexandro Carrasco'!A98</f>
        <v>PSP70</v>
      </c>
      <c r="B182" s="12" t="str">
        <f>'Alexandro Carrasco'!B98</f>
        <v>Francisco Rosete Núñez</v>
      </c>
      <c r="C182" s="12" t="str">
        <f>'Alexandro Carrasco'!C98</f>
        <v>Parques Industriales Amistad</v>
      </c>
      <c r="D182" s="110" t="str">
        <f>'Alexandro Carrasco'!D98</f>
        <v>Celaya</v>
      </c>
      <c r="E182" s="12" t="str">
        <f>'Alexandro Carrasco'!E98</f>
        <v>SFV</v>
      </c>
      <c r="F182" s="108" t="str">
        <f>'Alexandro Carrasco'!F98</f>
        <v>1. Prospección</v>
      </c>
      <c r="G182" s="48">
        <f>'Alexandro Carrasco'!G98</f>
        <v>45992</v>
      </c>
      <c r="H182" s="49" t="str">
        <f>'Alexandro Carrasco'!H98</f>
        <v/>
      </c>
      <c r="I182" s="21" t="str">
        <f>'Alexandro Carrasco'!I98</f>
        <v/>
      </c>
      <c r="J182" s="108" t="str">
        <f>'Alexandro Carrasco'!J98</f>
        <v>LinkedIn (Orgánico)</v>
      </c>
      <c r="K182" s="12" t="str">
        <f>'Alexandro Carrasco'!K98</f>
        <v>Alexandro Carrasco</v>
      </c>
    </row>
    <row r="183" ht="22.5" customHeight="1">
      <c r="A183" s="107" t="str">
        <f>'Alexandro Carrasco'!A99</f>
        <v>PSP130</v>
      </c>
      <c r="B183" s="12" t="str">
        <f>'Alexandro Carrasco'!B99</f>
        <v>Juan Carlos Díaz (Director)</v>
      </c>
      <c r="C183" s="12" t="str">
        <f>'Alexandro Carrasco'!C99</f>
        <v>Grupo Tikal</v>
      </c>
      <c r="D183" s="110" t="str">
        <f>'Alexandro Carrasco'!D99</f>
        <v>Merida</v>
      </c>
      <c r="E183" s="12" t="str">
        <f>'Alexandro Carrasco'!E99</f>
        <v>SFV</v>
      </c>
      <c r="F183" s="108" t="str">
        <f>'Alexandro Carrasco'!F99</f>
        <v>1. Prospección</v>
      </c>
      <c r="G183" s="48">
        <f>'Alexandro Carrasco'!G99</f>
        <v>45992</v>
      </c>
      <c r="H183" s="49" t="str">
        <f>'Alexandro Carrasco'!H99</f>
        <v/>
      </c>
      <c r="I183" s="21" t="str">
        <f>'Alexandro Carrasco'!I99</f>
        <v/>
      </c>
      <c r="J183" s="108" t="str">
        <f>'Alexandro Carrasco'!J99</f>
        <v>Visita en Frío (Prospección)</v>
      </c>
      <c r="K183" s="12" t="str">
        <f>'Alexandro Carrasco'!K99</f>
        <v>Alexandro Carrasco</v>
      </c>
    </row>
    <row r="184" ht="22.5" customHeight="1">
      <c r="A184" s="107" t="str">
        <f>'Alexandro Carrasco'!A100</f>
        <v>PSP52</v>
      </c>
      <c r="B184" s="12" t="str">
        <f>'Alexandro Carrasco'!B100</f>
        <v>Ing. Elmo Escalante</v>
      </c>
      <c r="C184" s="12" t="str">
        <f>'Alexandro Carrasco'!C100</f>
        <v>Esfo Grupo Desarrollador</v>
      </c>
      <c r="D184" s="110" t="str">
        <f>'Alexandro Carrasco'!D100</f>
        <v>Leon</v>
      </c>
      <c r="E184" s="12" t="str">
        <f>'Alexandro Carrasco'!E100</f>
        <v>SFV</v>
      </c>
      <c r="F184" s="108" t="str">
        <f>'Alexandro Carrasco'!F100</f>
        <v>1. Prospección</v>
      </c>
      <c r="G184" s="48">
        <f>'Alexandro Carrasco'!G100</f>
        <v>45982</v>
      </c>
      <c r="H184" s="49" t="str">
        <f>'Alexandro Carrasco'!H100</f>
        <v/>
      </c>
      <c r="I184" s="21" t="str">
        <f>'Alexandro Carrasco'!I100</f>
        <v/>
      </c>
      <c r="J184" s="108" t="str">
        <f>'Alexandro Carrasco'!J100</f>
        <v>Llamada en Frío (Prospección)</v>
      </c>
      <c r="K184" s="12" t="str">
        <f>'Alexandro Carrasco'!K100</f>
        <v>Alexandro Carrasco</v>
      </c>
    </row>
    <row r="185" ht="22.5" customHeight="1">
      <c r="A185" s="107" t="str">
        <f>'Alexandro Carrasco'!A101</f>
        <v>PSP30</v>
      </c>
      <c r="B185" s="12" t="str">
        <f>'Alexandro Carrasco'!B101</f>
        <v>Jorge Azar</v>
      </c>
      <c r="C185" s="12" t="str">
        <f>'Alexandro Carrasco'!C101</f>
        <v>Grupo Cien Inmobiliario</v>
      </c>
      <c r="D185" s="110" t="str">
        <f>'Alexandro Carrasco'!D101</f>
        <v>Monterrey</v>
      </c>
      <c r="E185" s="12" t="str">
        <f>'Alexandro Carrasco'!E101</f>
        <v>SFV</v>
      </c>
      <c r="F185" s="108" t="str">
        <f>'Alexandro Carrasco'!F101</f>
        <v>2. Contacto Inicial</v>
      </c>
      <c r="G185" s="48">
        <f>'Alexandro Carrasco'!G101</f>
        <v>45975</v>
      </c>
      <c r="H185" s="49" t="str">
        <f>'Alexandro Carrasco'!H101</f>
        <v/>
      </c>
      <c r="I185" s="21" t="str">
        <f>'Alexandro Carrasco'!I101</f>
        <v/>
      </c>
      <c r="J185" s="108" t="str">
        <f>'Alexandro Carrasco'!J101</f>
        <v>Llamada en Frío (Prospección)</v>
      </c>
      <c r="K185" s="12" t="str">
        <f>'Alexandro Carrasco'!K101</f>
        <v>Alexandro Carrasco</v>
      </c>
    </row>
    <row r="186" ht="22.5" customHeight="1">
      <c r="A186" s="107" t="str">
        <f>'Alexandro Carrasco'!A102</f>
        <v>PSP71</v>
      </c>
      <c r="B186" s="12" t="str">
        <f>'Alexandro Carrasco'!B102</f>
        <v>Juan Pablo Macías</v>
      </c>
      <c r="C186" s="12" t="str">
        <f>'Alexandro Carrasco'!C102</f>
        <v>Parque Industrial Amistad Bajío</v>
      </c>
      <c r="D186" s="110" t="str">
        <f>'Alexandro Carrasco'!D102</f>
        <v>Celaya</v>
      </c>
      <c r="E186" s="12" t="str">
        <f>'Alexandro Carrasco'!E102</f>
        <v>SFV</v>
      </c>
      <c r="F186" s="108" t="str">
        <f>'Alexandro Carrasco'!F102</f>
        <v>2. Contacto Inicial</v>
      </c>
      <c r="G186" s="48">
        <f>'Alexandro Carrasco'!G102</f>
        <v>45972</v>
      </c>
      <c r="H186" s="49" t="str">
        <f>'Alexandro Carrasco'!H102</f>
        <v/>
      </c>
      <c r="I186" s="21" t="str">
        <f>'Alexandro Carrasco'!I102</f>
        <v/>
      </c>
      <c r="J186" s="108" t="str">
        <f>'Alexandro Carrasco'!J102</f>
        <v>Referido (Cliente)</v>
      </c>
      <c r="K186" s="12" t="str">
        <f>'Alexandro Carrasco'!K102</f>
        <v>Alexandro Carrasco</v>
      </c>
    </row>
    <row r="187" ht="22.5" customHeight="1">
      <c r="A187" s="107" t="str">
        <f>'Alexandro Carrasco'!A103</f>
        <v>PSP126</v>
      </c>
      <c r="B187" s="12" t="str">
        <f>'Alexandro Carrasco'!B103</f>
        <v>Ricardo Pérez</v>
      </c>
      <c r="C187" s="12" t="str">
        <f>'Alexandro Carrasco'!C103</f>
        <v>Tetra pak</v>
      </c>
      <c r="D187" s="110" t="str">
        <f>'Alexandro Carrasco'!D103</f>
        <v>Querétaro</v>
      </c>
      <c r="E187" s="12" t="str">
        <f>'Alexandro Carrasco'!E103</f>
        <v>SFV</v>
      </c>
      <c r="F187" s="108" t="str">
        <f>'Alexandro Carrasco'!F103</f>
        <v>1. Prospección</v>
      </c>
      <c r="G187" s="48">
        <f>'Alexandro Carrasco'!G103</f>
        <v>45968</v>
      </c>
      <c r="H187" s="49" t="str">
        <f>'Alexandro Carrasco'!H103</f>
        <v/>
      </c>
      <c r="I187" s="21" t="str">
        <f>'Alexandro Carrasco'!I103</f>
        <v/>
      </c>
      <c r="J187" s="108" t="str">
        <f>'Alexandro Carrasco'!J103</f>
        <v>Referido (Cliente)</v>
      </c>
      <c r="K187" s="12" t="str">
        <f>'Alexandro Carrasco'!K103</f>
        <v>Alexandro Carrasco</v>
      </c>
    </row>
    <row r="188" ht="22.5" customHeight="1">
      <c r="A188" s="107" t="str">
        <f>'Alexandro Carrasco'!A104</f>
        <v>PSP128</v>
      </c>
      <c r="B188" s="12" t="str">
        <f>'Alexandro Carrasco'!B104</f>
        <v>Diego Díez Castro</v>
      </c>
      <c r="C188" s="12" t="str">
        <f>'Alexandro Carrasco'!C104</f>
        <v>Petropipe México</v>
      </c>
      <c r="D188" s="110" t="str">
        <f>'Alexandro Carrasco'!D104</f>
        <v>Chihuahua</v>
      </c>
      <c r="E188" s="12" t="str">
        <f>'Alexandro Carrasco'!E104</f>
        <v>SFV</v>
      </c>
      <c r="F188" s="108" t="str">
        <f>'Alexandro Carrasco'!F104</f>
        <v>1. Prospección</v>
      </c>
      <c r="G188" s="48">
        <f>'Alexandro Carrasco'!G104</f>
        <v>45967</v>
      </c>
      <c r="H188" s="49" t="str">
        <f>'Alexandro Carrasco'!H104</f>
        <v/>
      </c>
      <c r="I188" s="21" t="str">
        <f>'Alexandro Carrasco'!I104</f>
        <v/>
      </c>
      <c r="J188" s="108" t="str">
        <f>'Alexandro Carrasco'!J104</f>
        <v>Referido (Cliente)</v>
      </c>
      <c r="K188" s="12" t="str">
        <f>'Alexandro Carrasco'!K104</f>
        <v>Alexandro Carrasco</v>
      </c>
    </row>
    <row r="189" ht="22.5" customHeight="1">
      <c r="A189" s="107" t="str">
        <f>'Alexandro Carrasco'!A105</f>
        <v>PSP101</v>
      </c>
      <c r="B189" s="12" t="str">
        <f>'Alexandro Carrasco'!B105</f>
        <v>Arq. Aldo Acuña</v>
      </c>
      <c r="C189" s="12" t="str">
        <f>'Alexandro Carrasco'!C105</f>
        <v/>
      </c>
      <c r="D189" s="110" t="str">
        <f>'Alexandro Carrasco'!D105</f>
        <v>CDMX</v>
      </c>
      <c r="E189" s="12" t="str">
        <f>'Alexandro Carrasco'!E105</f>
        <v>SFV</v>
      </c>
      <c r="F189" s="108" t="str">
        <f>'Alexandro Carrasco'!F105</f>
        <v>1. Prospección</v>
      </c>
      <c r="G189" s="48">
        <f>'Alexandro Carrasco'!G105</f>
        <v>45965</v>
      </c>
      <c r="H189" s="49" t="str">
        <f>'Alexandro Carrasco'!H105</f>
        <v/>
      </c>
      <c r="I189" s="21" t="str">
        <f>'Alexandro Carrasco'!I105</f>
        <v/>
      </c>
      <c r="J189" s="108" t="str">
        <f>'Alexandro Carrasco'!J105</f>
        <v>Referido (Cliente)</v>
      </c>
      <c r="K189" s="12" t="str">
        <f>'Alexandro Carrasco'!K105</f>
        <v>Alexandro Carrasco</v>
      </c>
    </row>
    <row r="190" ht="22.5" customHeight="1">
      <c r="A190" s="107" t="str">
        <f>'Alexandro Carrasco'!A106</f>
        <v>PSP72</v>
      </c>
      <c r="B190" s="12" t="str">
        <f>'Alexandro Carrasco'!B106</f>
        <v>Juan Carlos Guerrero</v>
      </c>
      <c r="C190" s="12" t="str">
        <f>'Alexandro Carrasco'!C106</f>
        <v>Finsa (Leed)</v>
      </c>
      <c r="D190" s="110" t="str">
        <f>'Alexandro Carrasco'!D106</f>
        <v>Monterrey</v>
      </c>
      <c r="E190" s="12" t="str">
        <f>'Alexandro Carrasco'!E106</f>
        <v>SFV</v>
      </c>
      <c r="F190" s="108" t="str">
        <f>'Alexandro Carrasco'!F106</f>
        <v>1. Prospección</v>
      </c>
      <c r="G190" s="48">
        <f>'Alexandro Carrasco'!G106</f>
        <v>45964</v>
      </c>
      <c r="H190" s="49" t="str">
        <f>'Alexandro Carrasco'!H106</f>
        <v/>
      </c>
      <c r="I190" s="21" t="str">
        <f>'Alexandro Carrasco'!I106</f>
        <v/>
      </c>
      <c r="J190" s="108" t="str">
        <f>'Alexandro Carrasco'!J106</f>
        <v>Webinar / Evento Virtual</v>
      </c>
      <c r="K190" s="12" t="str">
        <f>'Alexandro Carrasco'!K106</f>
        <v>Alexandro Carrasco</v>
      </c>
    </row>
    <row r="191" ht="22.5" customHeight="1">
      <c r="A191" s="107" t="str">
        <f>'Alexandro Carrasco'!A107</f>
        <v>PSP84</v>
      </c>
      <c r="B191" s="12" t="str">
        <f>'Alexandro Carrasco'!B107</f>
        <v>Ing. Víctor Gómez</v>
      </c>
      <c r="C191" s="12" t="str">
        <f>'Alexandro Carrasco'!C107</f>
        <v>Home Depot Mty</v>
      </c>
      <c r="D191" s="110" t="str">
        <f>'Alexandro Carrasco'!D107</f>
        <v>Monterrey</v>
      </c>
      <c r="E191" s="12" t="str">
        <f>'Alexandro Carrasco'!E107</f>
        <v>SFV</v>
      </c>
      <c r="F191" s="108" t="str">
        <f>'Alexandro Carrasco'!F107</f>
        <v>1. Prospección</v>
      </c>
      <c r="G191" s="48">
        <f>'Alexandro Carrasco'!G107</f>
        <v>45961</v>
      </c>
      <c r="H191" s="49" t="str">
        <f>'Alexandro Carrasco'!H107</f>
        <v/>
      </c>
      <c r="I191" s="21" t="str">
        <f>'Alexandro Carrasco'!I107</f>
        <v/>
      </c>
      <c r="J191" s="108" t="str">
        <f>'Alexandro Carrasco'!J107</f>
        <v>LinkedIn (Orgánico)</v>
      </c>
      <c r="K191" s="12" t="str">
        <f>'Alexandro Carrasco'!K107</f>
        <v>Alexandro Carrasco</v>
      </c>
    </row>
    <row r="192" ht="22.5" customHeight="1">
      <c r="A192" s="107" t="str">
        <f>'Alexandro Carrasco'!A108</f>
        <v/>
      </c>
      <c r="B192" s="12" t="str">
        <f>'Alexandro Carrasco'!B108</f>
        <v>Ricardo Collin</v>
      </c>
      <c r="C192" s="12" t="str">
        <f>'Alexandro Carrasco'!C108</f>
        <v>WRKS</v>
      </c>
      <c r="D192" s="110" t="str">
        <f>'Alexandro Carrasco'!D108</f>
        <v>CDMX</v>
      </c>
      <c r="E192" s="12" t="str">
        <f>'Alexandro Carrasco'!E108</f>
        <v>SFV</v>
      </c>
      <c r="F192" s="108" t="str">
        <f>'Alexandro Carrasco'!F108</f>
        <v>1. Prospección</v>
      </c>
      <c r="G192" s="48">
        <f>'Alexandro Carrasco'!G108</f>
        <v>45961</v>
      </c>
      <c r="H192" s="49" t="str">
        <f>'Alexandro Carrasco'!H108</f>
        <v/>
      </c>
      <c r="I192" s="21" t="str">
        <f>'Alexandro Carrasco'!I108</f>
        <v/>
      </c>
      <c r="J192" s="108" t="str">
        <f>'Alexandro Carrasco'!J108</f>
        <v>Chat Web / WhatsApp</v>
      </c>
      <c r="K192" s="12" t="str">
        <f>'Alexandro Carrasco'!K108</f>
        <v>Alexandro Carrasco</v>
      </c>
    </row>
    <row r="193" ht="22.5" customHeight="1">
      <c r="A193" s="107" t="str">
        <f>'Alexandro Carrasco'!A109</f>
        <v>PSP6</v>
      </c>
      <c r="B193" s="12" t="str">
        <f>'Alexandro Carrasco'!B109</f>
        <v>Ing. Carlos Salas</v>
      </c>
      <c r="C193" s="12" t="str">
        <f>'Alexandro Carrasco'!C109</f>
        <v>Ti Automotive "Planta 2".</v>
      </c>
      <c r="D193" s="12" t="str">
        <f>'Alexandro Carrasco'!D109</f>
        <v>Reynosa, Tamaulipas</v>
      </c>
      <c r="E193" s="12" t="str">
        <f>'Alexandro Carrasco'!E109</f>
        <v>SFV</v>
      </c>
      <c r="F193" s="108" t="str">
        <f>'Alexandro Carrasco'!F109</f>
        <v>8. Propuesta Enviada</v>
      </c>
      <c r="G193" s="48">
        <f>'Alexandro Carrasco'!G109</f>
        <v>45958</v>
      </c>
      <c r="H193" s="49">
        <f>'Alexandro Carrasco'!H109</f>
        <v>327759</v>
      </c>
      <c r="I193" s="21" t="str">
        <f>'Alexandro Carrasco'!I109</f>
        <v/>
      </c>
      <c r="J193" s="108" t="str">
        <f>'Alexandro Carrasco'!J109</f>
        <v>Llamada en Frío (Prospección)</v>
      </c>
      <c r="K193" s="12" t="str">
        <f>'Alexandro Carrasco'!K109</f>
        <v>Alexandro Carrasco</v>
      </c>
    </row>
    <row r="194" ht="22.5" customHeight="1">
      <c r="A194" s="107" t="str">
        <f>'Alexandro Carrasco'!A110</f>
        <v>PSP7</v>
      </c>
      <c r="B194" s="12" t="str">
        <f>'Alexandro Carrasco'!B110</f>
        <v>Melissa Muñoz</v>
      </c>
      <c r="C194" s="12" t="str">
        <f>'Alexandro Carrasco'!C110</f>
        <v>SYQCSA Torre Jurica.</v>
      </c>
      <c r="D194" s="110" t="str">
        <f>'Alexandro Carrasco'!D110</f>
        <v>Querétaro</v>
      </c>
      <c r="E194" s="12" t="str">
        <f>'Alexandro Carrasco'!E110</f>
        <v>SFV</v>
      </c>
      <c r="F194" s="108" t="str">
        <f>'Alexandro Carrasco'!F110</f>
        <v>8. Propuesta Enviada</v>
      </c>
      <c r="G194" s="48">
        <f>'Alexandro Carrasco'!G110</f>
        <v>45952</v>
      </c>
      <c r="H194" s="49">
        <f>'Alexandro Carrasco'!H110</f>
        <v>85653</v>
      </c>
      <c r="I194" s="21" t="str">
        <f>'Alexandro Carrasco'!I110</f>
        <v/>
      </c>
      <c r="J194" s="108" t="str">
        <f>'Alexandro Carrasco'!J110</f>
        <v>Llamada en Frío (Prospección)</v>
      </c>
      <c r="K194" s="12" t="str">
        <f>'Alexandro Carrasco'!K110</f>
        <v>Alexandro Carrasco</v>
      </c>
    </row>
    <row r="195" ht="22.5" customHeight="1">
      <c r="A195" s="107" t="str">
        <f>'Alexandro Carrasco'!A111</f>
        <v>PSP34</v>
      </c>
      <c r="B195" s="12" t="str">
        <f>'Alexandro Carrasco'!B111</f>
        <v>Ing. Mario Salazar</v>
      </c>
      <c r="C195" s="12" t="str">
        <f>'Alexandro Carrasco'!C111</f>
        <v>Dirac (Proyecto Residencial)</v>
      </c>
      <c r="D195" s="110" t="str">
        <f>'Alexandro Carrasco'!D111</f>
        <v>Ciudad de México</v>
      </c>
      <c r="E195" s="12" t="str">
        <f>'Alexandro Carrasco'!E111</f>
        <v>SFV</v>
      </c>
      <c r="F195" s="108" t="str">
        <f>'Alexandro Carrasco'!F111</f>
        <v>5. Visita Técnica / Diagnóstico en Sitio</v>
      </c>
      <c r="G195" s="48">
        <f>'Alexandro Carrasco'!G111</f>
        <v>45952</v>
      </c>
      <c r="H195" s="49" t="str">
        <f>'Alexandro Carrasco'!H111</f>
        <v/>
      </c>
      <c r="I195" s="21" t="str">
        <f>'Alexandro Carrasco'!I111</f>
        <v/>
      </c>
      <c r="J195" s="108" t="str">
        <f>'Alexandro Carrasco'!J111</f>
        <v>Llamada en Frío (Prospección)</v>
      </c>
      <c r="K195" s="12" t="str">
        <f>'Alexandro Carrasco'!K111</f>
        <v>Alexandro Carrasco</v>
      </c>
    </row>
    <row r="196" ht="22.5" customHeight="1">
      <c r="A196" s="107" t="str">
        <f>'Alexandro Carrasco'!A112</f>
        <v>PSP29</v>
      </c>
      <c r="B196" s="12" t="str">
        <f>'Alexandro Carrasco'!B112</f>
        <v>Allan Alfaro</v>
      </c>
      <c r="C196" s="12" t="str">
        <f>'Alexandro Carrasco'!C112</f>
        <v>Alfaro y Asociados</v>
      </c>
      <c r="D196" s="110" t="str">
        <f>'Alexandro Carrasco'!D112</f>
        <v>Ciudad de México</v>
      </c>
      <c r="E196" s="12" t="str">
        <f>'Alexandro Carrasco'!E112</f>
        <v>SFV</v>
      </c>
      <c r="F196" s="108" t="str">
        <f>'Alexandro Carrasco'!F112</f>
        <v>2. Contacto Inicial</v>
      </c>
      <c r="G196" s="48">
        <f>'Alexandro Carrasco'!G112</f>
        <v>45947</v>
      </c>
      <c r="H196" s="49" t="str">
        <f>'Alexandro Carrasco'!H112</f>
        <v/>
      </c>
      <c r="I196" s="21" t="str">
        <f>'Alexandro Carrasco'!I112</f>
        <v/>
      </c>
      <c r="J196" s="108" t="str">
        <f>'Alexandro Carrasco'!J112</f>
        <v>Llamada en Frío (Prospección)</v>
      </c>
      <c r="K196" s="12" t="str">
        <f>'Alexandro Carrasco'!K112</f>
        <v>Alexandro Carrasco</v>
      </c>
    </row>
    <row r="197" ht="22.5" customHeight="1">
      <c r="A197" s="107" t="str">
        <f>'Alexandro Carrasco'!A113</f>
        <v>PSP48</v>
      </c>
      <c r="B197" s="12" t="str">
        <f>'Alexandro Carrasco'!B113</f>
        <v>Ing. Jairo Rocha Chávez</v>
      </c>
      <c r="C197" s="12" t="str">
        <f>'Alexandro Carrasco'!C113</f>
        <v>Carton Company Incorporated</v>
      </c>
      <c r="D197" s="110" t="str">
        <f>'Alexandro Carrasco'!D113</f>
        <v>Querétaro</v>
      </c>
      <c r="E197" s="12" t="str">
        <f>'Alexandro Carrasco'!E113</f>
        <v>SFV</v>
      </c>
      <c r="F197" s="108" t="str">
        <f>'Alexandro Carrasco'!F113</f>
        <v>1. Prospección</v>
      </c>
      <c r="G197" s="48">
        <f>'Alexandro Carrasco'!G113</f>
        <v>45947</v>
      </c>
      <c r="H197" s="49" t="str">
        <f>'Alexandro Carrasco'!H113</f>
        <v/>
      </c>
      <c r="I197" s="21" t="str">
        <f>'Alexandro Carrasco'!I113</f>
        <v/>
      </c>
      <c r="J197" s="108" t="str">
        <f>'Alexandro Carrasco'!J113</f>
        <v>Llamada en Frío (Prospección)</v>
      </c>
      <c r="K197" s="12" t="str">
        <f>'Alexandro Carrasco'!K113</f>
        <v>Alexandro Carrasco</v>
      </c>
    </row>
    <row r="198" ht="22.5" customHeight="1">
      <c r="A198" s="107" t="str">
        <f>'Alexandro Carrasco'!A114</f>
        <v>PSP68</v>
      </c>
      <c r="B198" s="12" t="str">
        <f>'Alexandro Carrasco'!B114</f>
        <v>Ing. Iván Díaz Hinojosa</v>
      </c>
      <c r="C198" s="12" t="str">
        <f>'Alexandro Carrasco'!C114</f>
        <v>Finsa (Industrias)</v>
      </c>
      <c r="D198" s="110" t="str">
        <f>'Alexandro Carrasco'!D114</f>
        <v>Monterrey</v>
      </c>
      <c r="E198" s="12" t="str">
        <f>'Alexandro Carrasco'!E114</f>
        <v>SFV</v>
      </c>
      <c r="F198" s="108" t="str">
        <f>'Alexandro Carrasco'!F114</f>
        <v>1. Prospección</v>
      </c>
      <c r="G198" s="48">
        <f>'Alexandro Carrasco'!G114</f>
        <v>45946</v>
      </c>
      <c r="H198" s="49" t="str">
        <f>'Alexandro Carrasco'!H114</f>
        <v/>
      </c>
      <c r="I198" s="21" t="str">
        <f>'Alexandro Carrasco'!I114</f>
        <v/>
      </c>
      <c r="J198" s="108" t="str">
        <f>'Alexandro Carrasco'!J114</f>
        <v>Llamada en Frío (Prospección)</v>
      </c>
      <c r="K198" s="12" t="str">
        <f>'Alexandro Carrasco'!K114</f>
        <v>Alexandro Carrasco</v>
      </c>
    </row>
    <row r="199" ht="22.5" customHeight="1">
      <c r="A199" s="107" t="str">
        <f>'Alexandro Carrasco'!A115</f>
        <v>PSP28</v>
      </c>
      <c r="B199" s="12" t="str">
        <f>'Alexandro Carrasco'!B115</f>
        <v>Alberto Urquiza Corvera</v>
      </c>
      <c r="C199" s="12" t="str">
        <f>'Alexandro Carrasco'!C115</f>
        <v>Enlace XXI</v>
      </c>
      <c r="D199" s="110" t="str">
        <f>'Alexandro Carrasco'!D115</f>
        <v>Ciudad de México</v>
      </c>
      <c r="E199" s="12" t="str">
        <f>'Alexandro Carrasco'!E115</f>
        <v>SFV + BC</v>
      </c>
      <c r="F199" s="108" t="str">
        <f>'Alexandro Carrasco'!F115</f>
        <v>1. Prospección</v>
      </c>
      <c r="G199" s="48">
        <f>'Alexandro Carrasco'!G115</f>
        <v>45945</v>
      </c>
      <c r="H199" s="49" t="str">
        <f>'Alexandro Carrasco'!H115</f>
        <v/>
      </c>
      <c r="I199" s="21" t="str">
        <f>'Alexandro Carrasco'!I115</f>
        <v/>
      </c>
      <c r="J199" s="108" t="str">
        <f>'Alexandro Carrasco'!J115</f>
        <v>Llamada en Frío (Prospección)</v>
      </c>
      <c r="K199" s="12" t="str">
        <f>'Alexandro Carrasco'!K115</f>
        <v>Alexandro Carrasco</v>
      </c>
    </row>
    <row r="200" ht="22.5" customHeight="1">
      <c r="A200" s="107" t="str">
        <f>'Alexandro Carrasco'!A116</f>
        <v>PSP93</v>
      </c>
      <c r="B200" s="12" t="str">
        <f>'Alexandro Carrasco'!B116</f>
        <v>Sr. Rodrigo Centeno (Corporativo CDMX)</v>
      </c>
      <c r="C200" s="12" t="str">
        <f>'Alexandro Carrasco'!C116</f>
        <v>Nissan</v>
      </c>
      <c r="D200" s="110" t="str">
        <f>'Alexandro Carrasco'!D116</f>
        <v>Aguascalientes</v>
      </c>
      <c r="E200" s="12" t="str">
        <f>'Alexandro Carrasco'!E116</f>
        <v>SFV</v>
      </c>
      <c r="F200" s="108" t="str">
        <f>'Alexandro Carrasco'!F116</f>
        <v>1. Prospección</v>
      </c>
      <c r="G200" s="48">
        <f>'Alexandro Carrasco'!G116</f>
        <v>45945</v>
      </c>
      <c r="H200" s="49" t="str">
        <f>'Alexandro Carrasco'!H116</f>
        <v/>
      </c>
      <c r="I200" s="21" t="str">
        <f>'Alexandro Carrasco'!I116</f>
        <v/>
      </c>
      <c r="J200" s="108" t="str">
        <f>'Alexandro Carrasco'!J116</f>
        <v>Congreso / Cámara / Networking</v>
      </c>
      <c r="K200" s="12" t="str">
        <f>'Alexandro Carrasco'!K116</f>
        <v>Alexandro Carrasco</v>
      </c>
    </row>
    <row r="201" ht="22.5" customHeight="1">
      <c r="A201" s="107" t="str">
        <f>'Alexandro Carrasco'!A117</f>
        <v>PSP118</v>
      </c>
      <c r="B201" s="12" t="str">
        <f>'Alexandro Carrasco'!B117</f>
        <v>Ing. Thomas Ochmann</v>
      </c>
      <c r="C201" s="12" t="str">
        <f>'Alexandro Carrasco'!C117</f>
        <v>Dipasa</v>
      </c>
      <c r="D201" s="110" t="str">
        <f>'Alexandro Carrasco'!D117</f>
        <v>Cortazar</v>
      </c>
      <c r="E201" s="12" t="str">
        <f>'Alexandro Carrasco'!E117</f>
        <v>SFV o BC</v>
      </c>
      <c r="F201" s="108" t="str">
        <f>'Alexandro Carrasco'!F117</f>
        <v>1. Prospección</v>
      </c>
      <c r="G201" s="48">
        <f>'Alexandro Carrasco'!G117</f>
        <v>45944</v>
      </c>
      <c r="H201" s="49" t="str">
        <f>'Alexandro Carrasco'!H117</f>
        <v/>
      </c>
      <c r="I201" s="21" t="str">
        <f>'Alexandro Carrasco'!I117</f>
        <v/>
      </c>
      <c r="J201" s="108" t="str">
        <f>'Alexandro Carrasco'!J117</f>
        <v>Llamada en Frío (Prospección)</v>
      </c>
      <c r="K201" s="12" t="str">
        <f>'Alexandro Carrasco'!K117</f>
        <v>Alexandro Carrasco</v>
      </c>
    </row>
    <row r="202" ht="22.5" customHeight="1">
      <c r="A202" s="107" t="str">
        <f>'Alexandro Carrasco'!A118</f>
        <v>PSP3</v>
      </c>
      <c r="B202" s="12" t="str">
        <f>'Alexandro Carrasco'!B118</f>
        <v>Ing. Miguel Castillo</v>
      </c>
      <c r="C202" s="12" t="str">
        <f>'Alexandro Carrasco'!C118</f>
        <v>BIOFLEX Bio Empaques Flexibles.</v>
      </c>
      <c r="D202" s="12" t="str">
        <f>'Alexandro Carrasco'!D118</f>
        <v>Sila, Gto</v>
      </c>
      <c r="E202" s="12" t="str">
        <f>'Alexandro Carrasco'!E118</f>
        <v>SFV</v>
      </c>
      <c r="F202" s="108" t="str">
        <f>'Alexandro Carrasco'!F118</f>
        <v>5. Visita Técnica / Diagnóstico en Sitio</v>
      </c>
      <c r="G202" s="48">
        <f>'Alexandro Carrasco'!G118</f>
        <v>45940</v>
      </c>
      <c r="H202" s="49">
        <f>'Alexandro Carrasco'!H118</f>
        <v>459065</v>
      </c>
      <c r="I202" s="21" t="str">
        <f>'Alexandro Carrasco'!I118</f>
        <v/>
      </c>
      <c r="J202" s="108" t="str">
        <f>'Alexandro Carrasco'!J118</f>
        <v>Llamada en Frío (Prospección)</v>
      </c>
      <c r="K202" s="12" t="str">
        <f>'Alexandro Carrasco'!K118</f>
        <v>Alexandro Carrasco</v>
      </c>
    </row>
    <row r="203" ht="22.5" customHeight="1">
      <c r="A203" s="107" t="str">
        <f>'Alexandro Carrasco'!A119</f>
        <v>PSP45</v>
      </c>
      <c r="B203" s="12" t="str">
        <f>'Alexandro Carrasco'!B119</f>
        <v>Ing. Jesús Ricardo Díaz</v>
      </c>
      <c r="C203" s="12" t="str">
        <f>'Alexandro Carrasco'!C119</f>
        <v>Coppel</v>
      </c>
      <c r="D203" s="110" t="str">
        <f>'Alexandro Carrasco'!D119</f>
        <v>Ixtlán del Río</v>
      </c>
      <c r="E203" s="12" t="str">
        <f>'Alexandro Carrasco'!E119</f>
        <v>SFV</v>
      </c>
      <c r="F203" s="108" t="str">
        <f>'Alexandro Carrasco'!F119</f>
        <v>7. Estimación / Cotización</v>
      </c>
      <c r="G203" s="48">
        <f>'Alexandro Carrasco'!G119</f>
        <v>45940</v>
      </c>
      <c r="H203" s="49" t="str">
        <f>'Alexandro Carrasco'!H119</f>
        <v/>
      </c>
      <c r="I203" s="21" t="str">
        <f>'Alexandro Carrasco'!I119</f>
        <v/>
      </c>
      <c r="J203" s="108" t="str">
        <f>'Alexandro Carrasco'!J119</f>
        <v>Llamada en Frío (Prospección)</v>
      </c>
      <c r="K203" s="12" t="str">
        <f>'Alexandro Carrasco'!K119</f>
        <v>Alexandro Carrasco</v>
      </c>
    </row>
    <row r="204" ht="22.5" customHeight="1">
      <c r="A204" s="107" t="str">
        <f>'Alexandro Carrasco'!A120</f>
        <v>PSP47</v>
      </c>
      <c r="B204" s="12" t="str">
        <f>'Alexandro Carrasco'!B120</f>
        <v>Ing. Julián Lara Miranda</v>
      </c>
      <c r="C204" s="12" t="str">
        <f>'Alexandro Carrasco'!C120</f>
        <v>Perfetti Van Melle</v>
      </c>
      <c r="D204" s="110" t="str">
        <f>'Alexandro Carrasco'!D120</f>
        <v>TOLUCA, EDO.DE MÉXICO</v>
      </c>
      <c r="E204" s="12" t="str">
        <f>'Alexandro Carrasco'!E120</f>
        <v>SFV</v>
      </c>
      <c r="F204" s="108" t="str">
        <f>'Alexandro Carrasco'!F120</f>
        <v>1. Prospección</v>
      </c>
      <c r="G204" s="48">
        <f>'Alexandro Carrasco'!G120</f>
        <v>45940</v>
      </c>
      <c r="H204" s="49" t="str">
        <f>'Alexandro Carrasco'!H120</f>
        <v/>
      </c>
      <c r="I204" s="21" t="str">
        <f>'Alexandro Carrasco'!I120</f>
        <v/>
      </c>
      <c r="J204" s="108" t="str">
        <f>'Alexandro Carrasco'!J120</f>
        <v>Llamada en Frío (Prospección)</v>
      </c>
      <c r="K204" s="12" t="str">
        <f>'Alexandro Carrasco'!K120</f>
        <v>Alexandro Carrasco</v>
      </c>
    </row>
    <row r="205" ht="22.5" customHeight="1">
      <c r="A205" s="107" t="str">
        <f>'Alexandro Carrasco'!A121</f>
        <v>PSP117</v>
      </c>
      <c r="B205" s="12" t="str">
        <f>'Alexandro Carrasco'!B121</f>
        <v>Ing. Gerardo Cobos</v>
      </c>
      <c r="C205" s="12" t="str">
        <f>'Alexandro Carrasco'!C121</f>
        <v>Valeo</v>
      </c>
      <c r="D205" s="110" t="str">
        <f>'Alexandro Carrasco'!D121</f>
        <v>Querétaro</v>
      </c>
      <c r="E205" s="12" t="str">
        <f>'Alexandro Carrasco'!E121</f>
        <v>SFV</v>
      </c>
      <c r="F205" s="108" t="str">
        <f>'Alexandro Carrasco'!F121</f>
        <v>7. Estimación / Cotización</v>
      </c>
      <c r="G205" s="48">
        <f>'Alexandro Carrasco'!G121</f>
        <v>45938</v>
      </c>
      <c r="H205" s="49" t="str">
        <f>'Alexandro Carrasco'!H121</f>
        <v/>
      </c>
      <c r="I205" s="21" t="str">
        <f>'Alexandro Carrasco'!I121</f>
        <v/>
      </c>
      <c r="J205" s="108" t="str">
        <f>'Alexandro Carrasco'!J121</f>
        <v>Referido (Cliente)</v>
      </c>
      <c r="K205" s="12" t="str">
        <f>'Alexandro Carrasco'!K121</f>
        <v>Alexandro Carrasco</v>
      </c>
    </row>
    <row r="206" ht="22.5" customHeight="1">
      <c r="A206" s="107" t="str">
        <f>'Alexandro Carrasco'!A122</f>
        <v>PSP4</v>
      </c>
      <c r="B206" s="12" t="str">
        <f>'Alexandro Carrasco'!B122</f>
        <v>Lic. Enrique Calderón Fernández</v>
      </c>
      <c r="C206" s="12" t="str">
        <f>'Alexandro Carrasco'!C122</f>
        <v>Grupo Posadas SAB de CV (Hotel Fiesta Inn).</v>
      </c>
      <c r="D206" s="110" t="str">
        <f>'Alexandro Carrasco'!D122</f>
        <v>Ciudad de México</v>
      </c>
      <c r="E206" s="12" t="str">
        <f>'Alexandro Carrasco'!E122</f>
        <v>SFV</v>
      </c>
      <c r="F206" s="108" t="str">
        <f>'Alexandro Carrasco'!F122</f>
        <v>5. Visita Técnica / Diagnóstico en Sitio</v>
      </c>
      <c r="G206" s="48">
        <f>'Alexandro Carrasco'!G122</f>
        <v>45933</v>
      </c>
      <c r="H206" s="49">
        <f>'Alexandro Carrasco'!H122</f>
        <v>282665</v>
      </c>
      <c r="I206" s="21" t="str">
        <f>'Alexandro Carrasco'!I122</f>
        <v/>
      </c>
      <c r="J206" s="108" t="str">
        <f>'Alexandro Carrasco'!J122</f>
        <v>Llamada en Frío (Prospección)</v>
      </c>
      <c r="K206" s="12" t="str">
        <f>'Alexandro Carrasco'!K122</f>
        <v>Alexandro Carrasco</v>
      </c>
    </row>
    <row r="207" ht="22.5" customHeight="1">
      <c r="A207" s="107" t="str">
        <f>'Alexandro Carrasco'!A123</f>
        <v>PSP78</v>
      </c>
      <c r="B207" s="12" t="str">
        <f>'Alexandro Carrasco'!B123</f>
        <v>Ing. Bapsy Suárez</v>
      </c>
      <c r="C207" s="12" t="str">
        <f>'Alexandro Carrasco'!C123</f>
        <v>Gestor Particular (varios proyectos)</v>
      </c>
      <c r="D207" s="110" t="str">
        <f>'Alexandro Carrasco'!D123</f>
        <v>CDMX</v>
      </c>
      <c r="E207" s="12" t="str">
        <f>'Alexandro Carrasco'!E123</f>
        <v>SFV</v>
      </c>
      <c r="F207" s="108" t="str">
        <f>'Alexandro Carrasco'!F123</f>
        <v>1. Prospección</v>
      </c>
      <c r="G207" s="48">
        <f>'Alexandro Carrasco'!G123</f>
        <v>45932</v>
      </c>
      <c r="H207" s="49" t="str">
        <f>'Alexandro Carrasco'!H123</f>
        <v/>
      </c>
      <c r="I207" s="21" t="str">
        <f>'Alexandro Carrasco'!I123</f>
        <v/>
      </c>
      <c r="J207" s="108" t="str">
        <f>'Alexandro Carrasco'!J123</f>
        <v>Referido (Cliente)</v>
      </c>
      <c r="K207" s="12" t="str">
        <f>'Alexandro Carrasco'!K123</f>
        <v>Alexandro Carrasco</v>
      </c>
    </row>
    <row r="208" ht="22.5" customHeight="1">
      <c r="A208" s="107" t="str">
        <f>'Alexandro Carrasco'!A124</f>
        <v>PSP100</v>
      </c>
      <c r="B208" s="12" t="str">
        <f>'Alexandro Carrasco'!B124</f>
        <v>Ing. Manuel Ponce de León</v>
      </c>
      <c r="C208" s="12" t="str">
        <f>'Alexandro Carrasco'!C124</f>
        <v>Aerotech Industrial Park</v>
      </c>
      <c r="D208" s="110" t="str">
        <f>'Alexandro Carrasco'!D124</f>
        <v>Querétaro</v>
      </c>
      <c r="E208" s="12" t="str">
        <f>'Alexandro Carrasco'!E124</f>
        <v>SFV</v>
      </c>
      <c r="F208" s="108" t="str">
        <f>'Alexandro Carrasco'!F124</f>
        <v>1. Prospección</v>
      </c>
      <c r="G208" s="48">
        <f>'Alexandro Carrasco'!G124</f>
        <v>45931</v>
      </c>
      <c r="H208" s="49" t="str">
        <f>'Alexandro Carrasco'!H124</f>
        <v/>
      </c>
      <c r="I208" s="21" t="str">
        <f>'Alexandro Carrasco'!I124</f>
        <v/>
      </c>
      <c r="J208" s="108" t="str">
        <f>'Alexandro Carrasco'!J124</f>
        <v>Feria / Expo Industrial</v>
      </c>
      <c r="K208" s="12" t="str">
        <f>'Alexandro Carrasco'!K124</f>
        <v>Alexandro Carrasco</v>
      </c>
    </row>
    <row r="209" ht="22.5" customHeight="1">
      <c r="A209" s="107" t="str">
        <f>'Alexandro Carrasco'!A125</f>
        <v>PSP92</v>
      </c>
      <c r="B209" s="12" t="str">
        <f>'Alexandro Carrasco'!B125</f>
        <v>Elizabeth Grajales Betancourt / Daniel Valtierra</v>
      </c>
      <c r="C209" s="12" t="str">
        <f>'Alexandro Carrasco'!C125</f>
        <v>TOKS</v>
      </c>
      <c r="D209" s="110" t="str">
        <f>'Alexandro Carrasco'!D125</f>
        <v>CDMX</v>
      </c>
      <c r="E209" s="12" t="str">
        <f>'Alexandro Carrasco'!E125</f>
        <v>SFV</v>
      </c>
      <c r="F209" s="108" t="str">
        <f>'Alexandro Carrasco'!F125</f>
        <v>1. Prospección</v>
      </c>
      <c r="G209" s="48">
        <f>'Alexandro Carrasco'!G125</f>
        <v>45929</v>
      </c>
      <c r="H209" s="49" t="str">
        <f>'Alexandro Carrasco'!H125</f>
        <v/>
      </c>
      <c r="I209" s="21" t="str">
        <f>'Alexandro Carrasco'!I125</f>
        <v/>
      </c>
      <c r="J209" s="108" t="str">
        <f>'Alexandro Carrasco'!J125</f>
        <v>Visita en Frío (Prospección)</v>
      </c>
      <c r="K209" s="12" t="str">
        <f>'Alexandro Carrasco'!K125</f>
        <v>Alexandro Carrasco</v>
      </c>
    </row>
    <row r="210" ht="22.5" customHeight="1">
      <c r="A210" s="107" t="str">
        <f>'Alexandro Carrasco'!A126</f>
        <v>PSP87</v>
      </c>
      <c r="B210" s="12" t="str">
        <f>'Alexandro Carrasco'!B126</f>
        <v>Ulises Juárez Solares</v>
      </c>
      <c r="C210" s="12" t="str">
        <f>'Alexandro Carrasco'!C126</f>
        <v>Grupo Chufani</v>
      </c>
      <c r="D210" s="110" t="str">
        <f>'Alexandro Carrasco'!D126</f>
        <v>Querétaro</v>
      </c>
      <c r="E210" s="12" t="str">
        <f>'Alexandro Carrasco'!E126</f>
        <v>SFV</v>
      </c>
      <c r="F210" s="108" t="str">
        <f>'Alexandro Carrasco'!F126</f>
        <v>1. Prospección</v>
      </c>
      <c r="G210" s="48">
        <f>'Alexandro Carrasco'!G126</f>
        <v>45926</v>
      </c>
      <c r="H210" s="49" t="str">
        <f>'Alexandro Carrasco'!H126</f>
        <v/>
      </c>
      <c r="I210" s="21" t="str">
        <f>'Alexandro Carrasco'!I126</f>
        <v/>
      </c>
      <c r="J210" s="108" t="str">
        <f>'Alexandro Carrasco'!J126</f>
        <v>Referido (Cliente)</v>
      </c>
      <c r="K210" s="12" t="str">
        <f>'Alexandro Carrasco'!K126</f>
        <v>Alexandro Carrasco</v>
      </c>
    </row>
    <row r="211" ht="22.5" customHeight="1">
      <c r="A211" s="107" t="str">
        <f>'Alexandro Carrasco'!A127</f>
        <v>PSP86</v>
      </c>
      <c r="B211" s="12" t="str">
        <f>'Alexandro Carrasco'!B127</f>
        <v>Francisco Javier Hernández Cid</v>
      </c>
      <c r="C211" s="12" t="str">
        <f>'Alexandro Carrasco'!C127</f>
        <v>Palacio de Hierro</v>
      </c>
      <c r="D211" s="110" t="str">
        <f>'Alexandro Carrasco'!D127</f>
        <v>CDMX</v>
      </c>
      <c r="E211" s="12" t="str">
        <f>'Alexandro Carrasco'!E127</f>
        <v>SFV</v>
      </c>
      <c r="F211" s="108" t="str">
        <f>'Alexandro Carrasco'!F127</f>
        <v>1. Prospección</v>
      </c>
      <c r="G211" s="48">
        <f>'Alexandro Carrasco'!G127</f>
        <v>45924</v>
      </c>
      <c r="H211" s="49" t="str">
        <f>'Alexandro Carrasco'!H127</f>
        <v/>
      </c>
      <c r="I211" s="21" t="str">
        <f>'Alexandro Carrasco'!I127</f>
        <v/>
      </c>
      <c r="J211" s="108" t="str">
        <f>'Alexandro Carrasco'!J127</f>
        <v>Referido (Cliente)</v>
      </c>
      <c r="K211" s="12" t="str">
        <f>'Alexandro Carrasco'!K127</f>
        <v>Alexandro Carrasco</v>
      </c>
    </row>
    <row r="212" ht="22.5" customHeight="1">
      <c r="A212" s="107" t="str">
        <f>'Alexandro Carrasco'!A128</f>
        <v>PSP144</v>
      </c>
      <c r="B212" s="12" t="str">
        <f>'Alexandro Carrasco'!B128</f>
        <v>Ing. Arq. Juan José González</v>
      </c>
      <c r="C212" s="12" t="str">
        <f>'Alexandro Carrasco'!C128</f>
        <v>Baus Arquitectos</v>
      </c>
      <c r="D212" s="110" t="str">
        <f>'Alexandro Carrasco'!D128</f>
        <v>CDMX</v>
      </c>
      <c r="E212" s="12" t="str">
        <f>'Alexandro Carrasco'!E128</f>
        <v>SFV</v>
      </c>
      <c r="F212" s="108" t="str">
        <f>'Alexandro Carrasco'!F128</f>
        <v>1. Prospección</v>
      </c>
      <c r="G212" s="48">
        <f>'Alexandro Carrasco'!G128</f>
        <v>45919</v>
      </c>
      <c r="H212" s="49" t="str">
        <f>'Alexandro Carrasco'!H128</f>
        <v/>
      </c>
      <c r="I212" s="21" t="str">
        <f>'Alexandro Carrasco'!I128</f>
        <v/>
      </c>
      <c r="J212" s="108" t="str">
        <f>'Alexandro Carrasco'!J128</f>
        <v>LinkedIn (Orgánico)</v>
      </c>
      <c r="K212" s="12" t="str">
        <f>'Alexandro Carrasco'!K128</f>
        <v>Alexandro Carrasco</v>
      </c>
    </row>
    <row r="213" ht="22.5" customHeight="1">
      <c r="A213" s="107" t="str">
        <f>'Alexandro Carrasco'!A129</f>
        <v>PSP83</v>
      </c>
      <c r="B213" s="12" t="str">
        <f>'Alexandro Carrasco'!B129</f>
        <v>Samuel Chávez</v>
      </c>
      <c r="C213" s="12" t="str">
        <f>'Alexandro Carrasco'!C129</f>
        <v>Filclair (Grandes Invernaderos)</v>
      </c>
      <c r="D213" s="12" t="str">
        <f>'Alexandro Carrasco'!D129</f>
        <v>Guadalajara y Bajío</v>
      </c>
      <c r="E213" s="12" t="str">
        <f>'Alexandro Carrasco'!E129</f>
        <v>SFV</v>
      </c>
      <c r="F213" s="108" t="str">
        <f>'Alexandro Carrasco'!F129</f>
        <v>1. Prospección</v>
      </c>
      <c r="G213" s="48">
        <f>'Alexandro Carrasco'!G129</f>
        <v>45917</v>
      </c>
      <c r="H213" s="49" t="str">
        <f>'Alexandro Carrasco'!H129</f>
        <v/>
      </c>
      <c r="I213" s="21" t="str">
        <f>'Alexandro Carrasco'!I129</f>
        <v/>
      </c>
      <c r="J213" s="108" t="str">
        <f>'Alexandro Carrasco'!J129</f>
        <v>Llamada en Frío (Prospección)</v>
      </c>
      <c r="K213" s="12" t="str">
        <f>'Alexandro Carrasco'!K129</f>
        <v>Alexandro Carrasco</v>
      </c>
    </row>
    <row r="214" ht="22.5" customHeight="1">
      <c r="A214" s="107" t="str">
        <f>'Alexandro Carrasco'!A130</f>
        <v>PSP67</v>
      </c>
      <c r="B214" s="12" t="str">
        <f>'Alexandro Carrasco'!B130</f>
        <v>Ing. Esteban Walker</v>
      </c>
      <c r="C214" s="12" t="str">
        <f>'Alexandro Carrasco'!C130</f>
        <v>Grupo Metal Tec (Construcciones Verticales Acero).</v>
      </c>
      <c r="D214" s="12" t="str">
        <f>'Alexandro Carrasco'!D130</f>
        <v>Mérida y CDMX</v>
      </c>
      <c r="E214" s="12" t="str">
        <f>'Alexandro Carrasco'!E130</f>
        <v>SFV</v>
      </c>
      <c r="F214" s="108" t="str">
        <f>'Alexandro Carrasco'!F130</f>
        <v>1. Prospección</v>
      </c>
      <c r="G214" s="48">
        <f>'Alexandro Carrasco'!G130</f>
        <v>45912</v>
      </c>
      <c r="H214" s="49" t="str">
        <f>'Alexandro Carrasco'!H130</f>
        <v/>
      </c>
      <c r="I214" s="21" t="str">
        <f>'Alexandro Carrasco'!I130</f>
        <v/>
      </c>
      <c r="J214" s="108" t="str">
        <f>'Alexandro Carrasco'!J130</f>
        <v>Llamada en Frío (Prospección)</v>
      </c>
      <c r="K214" s="12" t="str">
        <f>'Alexandro Carrasco'!K130</f>
        <v>Alexandro Carrasco</v>
      </c>
    </row>
    <row r="215" ht="22.5" customHeight="1">
      <c r="A215" s="107" t="str">
        <f>'Alexandro Carrasco'!A131</f>
        <v>PSP60</v>
      </c>
      <c r="B215" s="12" t="str">
        <f>'Alexandro Carrasco'!B131</f>
        <v>Jorge Garza Herrera</v>
      </c>
      <c r="C215" s="12" t="str">
        <f>'Alexandro Carrasco'!C131</f>
        <v>Citelis</v>
      </c>
      <c r="D215" s="110" t="str">
        <f>'Alexandro Carrasco'!D131</f>
        <v>Morelia</v>
      </c>
      <c r="E215" s="12" t="str">
        <f>'Alexandro Carrasco'!E131</f>
        <v>SFV</v>
      </c>
      <c r="F215" s="108" t="str">
        <f>'Alexandro Carrasco'!F131</f>
        <v>1. Prospección</v>
      </c>
      <c r="G215" s="48">
        <f>'Alexandro Carrasco'!G131</f>
        <v>45909</v>
      </c>
      <c r="H215" s="49" t="str">
        <f>'Alexandro Carrasco'!H131</f>
        <v/>
      </c>
      <c r="I215" s="21" t="str">
        <f>'Alexandro Carrasco'!I131</f>
        <v/>
      </c>
      <c r="J215" s="108" t="str">
        <f>'Alexandro Carrasco'!J131</f>
        <v>Llamada en Frío (Prospección)</v>
      </c>
      <c r="K215" s="12" t="str">
        <f>'Alexandro Carrasco'!K131</f>
        <v>Alexandro Carrasco</v>
      </c>
    </row>
    <row r="216" ht="22.5" customHeight="1">
      <c r="A216" s="107" t="str">
        <f>'Alexandro Carrasco'!A132</f>
        <v>PSP59</v>
      </c>
      <c r="B216" s="12" t="str">
        <f>'Alexandro Carrasco'!B132</f>
        <v>Jorge Baeza</v>
      </c>
      <c r="C216" s="12" t="str">
        <f>'Alexandro Carrasco'!C132</f>
        <v>Bafar</v>
      </c>
      <c r="D216" s="110" t="str">
        <f>'Alexandro Carrasco'!D132</f>
        <v>Chihuahua</v>
      </c>
      <c r="E216" s="12" t="str">
        <f>'Alexandro Carrasco'!E132</f>
        <v>SFV</v>
      </c>
      <c r="F216" s="108" t="str">
        <f>'Alexandro Carrasco'!F132</f>
        <v>1. Prospección</v>
      </c>
      <c r="G216" s="48">
        <f>'Alexandro Carrasco'!G132</f>
        <v>45897</v>
      </c>
      <c r="H216" s="49" t="str">
        <f>'Alexandro Carrasco'!H132</f>
        <v/>
      </c>
      <c r="I216" s="21" t="str">
        <f>'Alexandro Carrasco'!I132</f>
        <v/>
      </c>
      <c r="J216" s="108" t="str">
        <f>'Alexandro Carrasco'!J132</f>
        <v>Visita en Frío (Prospección)</v>
      </c>
      <c r="K216" s="12" t="str">
        <f>'Alexandro Carrasco'!K132</f>
        <v>Alexandro Carrasco</v>
      </c>
    </row>
    <row r="217" ht="22.5" customHeight="1">
      <c r="A217" s="107" t="str">
        <f>'Alexandro Carrasco'!A133</f>
        <v>PSP35</v>
      </c>
      <c r="B217" s="12" t="str">
        <f>'Alexandro Carrasco'!B133</f>
        <v>Arq. Enrique O'farril</v>
      </c>
      <c r="C217" s="12" t="str">
        <f>'Alexandro Carrasco'!C133</f>
        <v>Concretera y Residencial</v>
      </c>
      <c r="D217" s="110" t="str">
        <f>'Alexandro Carrasco'!D133</f>
        <v>Querétaro</v>
      </c>
      <c r="E217" s="12" t="str">
        <f>'Alexandro Carrasco'!E133</f>
        <v>SFV</v>
      </c>
      <c r="F217" s="108" t="str">
        <f>'Alexandro Carrasco'!F133</f>
        <v>8. Propuesta Enviada</v>
      </c>
      <c r="G217" s="48">
        <f>'Alexandro Carrasco'!G133</f>
        <v>45868</v>
      </c>
      <c r="H217" s="49">
        <f>'Alexandro Carrasco'!H133</f>
        <v>3560</v>
      </c>
      <c r="I217" s="21" t="str">
        <f>'Alexandro Carrasco'!I133</f>
        <v/>
      </c>
      <c r="J217" s="108" t="str">
        <f>'Alexandro Carrasco'!J133</f>
        <v>Llamada en Frío (Prospección)</v>
      </c>
      <c r="K217" s="12" t="str">
        <f>'Alexandro Carrasco'!K133</f>
        <v>Alexandro Carrasco</v>
      </c>
    </row>
    <row r="218" ht="22.5" customHeight="1">
      <c r="A218" s="107" t="str">
        <f>'Alexandro Carrasco'!A134</f>
        <v>PSP141</v>
      </c>
      <c r="B218" s="12" t="str">
        <f>'Alexandro Carrasco'!B134</f>
        <v>Ing. Raúl Téllez</v>
      </c>
      <c r="C218" s="12" t="str">
        <f>'Alexandro Carrasco'!C134</f>
        <v>LDR Solutions</v>
      </c>
      <c r="D218" s="110" t="str">
        <f>'Alexandro Carrasco'!D134</f>
        <v>Lagos de Moreno</v>
      </c>
      <c r="E218" s="12" t="str">
        <f>'Alexandro Carrasco'!E134</f>
        <v>SFV</v>
      </c>
      <c r="F218" s="108" t="str">
        <f>'Alexandro Carrasco'!F134</f>
        <v>1. Prospección</v>
      </c>
      <c r="G218" s="48">
        <f>'Alexandro Carrasco'!G134</f>
        <v>45868</v>
      </c>
      <c r="H218" s="49" t="str">
        <f>'Alexandro Carrasco'!H134</f>
        <v/>
      </c>
      <c r="I218" s="21" t="str">
        <f>'Alexandro Carrasco'!I134</f>
        <v/>
      </c>
      <c r="J218" s="108" t="str">
        <f>'Alexandro Carrasco'!J134</f>
        <v>Referido (Cliente)</v>
      </c>
      <c r="K218" s="12" t="str">
        <f>'Alexandro Carrasco'!K134</f>
        <v>Alexandro Carrasco</v>
      </c>
    </row>
    <row r="219" ht="22.5" customHeight="1">
      <c r="A219" s="107" t="str">
        <f>'Alexandro Carrasco'!A135</f>
        <v>PSP2</v>
      </c>
      <c r="B219" s="12" t="str">
        <f>'Alexandro Carrasco'!B135</f>
        <v>Ing. Juan Rivera </v>
      </c>
      <c r="C219" s="12" t="str">
        <f>'Alexandro Carrasco'!C135</f>
        <v>O-i Owens Illinois (Vidriera)</v>
      </c>
      <c r="D219" s="110" t="str">
        <f>'Alexandro Carrasco'!D135</f>
        <v>Querétaro</v>
      </c>
      <c r="E219" s="12" t="str">
        <f>'Alexandro Carrasco'!E135</f>
        <v>SFV</v>
      </c>
      <c r="F219" s="108" t="str">
        <f>'Alexandro Carrasco'!F135</f>
        <v>4. Levantamiento de Requerimientos</v>
      </c>
      <c r="G219" s="48">
        <f>'Alexandro Carrasco'!G135</f>
        <v>45862</v>
      </c>
      <c r="H219" s="49">
        <f>'Alexandro Carrasco'!H135</f>
        <v>370375</v>
      </c>
      <c r="I219" s="21" t="str">
        <f>'Alexandro Carrasco'!I135</f>
        <v/>
      </c>
      <c r="J219" s="108" t="str">
        <f>'Alexandro Carrasco'!J135</f>
        <v>Llamada en Frío (Prospección)</v>
      </c>
      <c r="K219" s="12" t="str">
        <f>'Alexandro Carrasco'!K135</f>
        <v>Alexandro Carrasco</v>
      </c>
    </row>
    <row r="220" ht="22.5" customHeight="1">
      <c r="A220" s="107" t="str">
        <f>'Alexandro Carrasco'!A136</f>
        <v>PSP33</v>
      </c>
      <c r="B220" s="12" t="str">
        <f>'Alexandro Carrasco'!B136</f>
        <v>Lic. Ramón Amaya</v>
      </c>
      <c r="C220" s="12" t="str">
        <f>'Alexandro Carrasco'!C136</f>
        <v>Scherdel Wiesauplast</v>
      </c>
      <c r="D220" s="110" t="str">
        <f>'Alexandro Carrasco'!D136</f>
        <v>San José Iturbide</v>
      </c>
      <c r="E220" s="12" t="str">
        <f>'Alexandro Carrasco'!E136</f>
        <v>SFV</v>
      </c>
      <c r="F220" s="108" t="str">
        <f>'Alexandro Carrasco'!F136</f>
        <v>1. Prospección</v>
      </c>
      <c r="G220" s="48">
        <f>'Alexandro Carrasco'!G136</f>
        <v>45855</v>
      </c>
      <c r="H220" s="49" t="str">
        <f>'Alexandro Carrasco'!H136</f>
        <v/>
      </c>
      <c r="I220" s="21" t="str">
        <f>'Alexandro Carrasco'!I136</f>
        <v/>
      </c>
      <c r="J220" s="108" t="str">
        <f>'Alexandro Carrasco'!J136</f>
        <v>Llamada en Frío (Prospección)</v>
      </c>
      <c r="K220" s="12" t="str">
        <f>'Alexandro Carrasco'!K136</f>
        <v>Alexandro Carrasco</v>
      </c>
    </row>
    <row r="221" ht="22.5" customHeight="1">
      <c r="A221" s="107" t="str">
        <f>'Alexandro Carrasco'!A137</f>
        <v>PSP142</v>
      </c>
      <c r="B221" s="12" t="str">
        <f>'Alexandro Carrasco'!B137</f>
        <v/>
      </c>
      <c r="C221" s="12" t="str">
        <f>'Alexandro Carrasco'!C137</f>
        <v>Lácteos Gosa</v>
      </c>
      <c r="D221" s="110" t="str">
        <f>'Alexandro Carrasco'!D137</f>
        <v>Lagos de Moreno</v>
      </c>
      <c r="E221" s="12" t="str">
        <f>'Alexandro Carrasco'!E137</f>
        <v>SFV</v>
      </c>
      <c r="F221" s="108" t="str">
        <f>'Alexandro Carrasco'!F137</f>
        <v>1. Prospección</v>
      </c>
      <c r="G221" s="48">
        <f>'Alexandro Carrasco'!G137</f>
        <v>45855</v>
      </c>
      <c r="H221" s="49" t="str">
        <f>'Alexandro Carrasco'!H137</f>
        <v/>
      </c>
      <c r="I221" s="21" t="str">
        <f>'Alexandro Carrasco'!I137</f>
        <v/>
      </c>
      <c r="J221" s="108" t="str">
        <f>'Alexandro Carrasco'!J137</f>
        <v>Llamada en Frío (Prospección)</v>
      </c>
      <c r="K221" s="12" t="str">
        <f>'Alexandro Carrasco'!K137</f>
        <v>Alexandro Carrasco</v>
      </c>
    </row>
    <row r="222" ht="22.5" customHeight="1">
      <c r="A222" s="107" t="str">
        <f>'Alexandro Carrasco'!A138</f>
        <v>PSP31</v>
      </c>
      <c r="B222" s="12" t="str">
        <f>'Alexandro Carrasco'!B138</f>
        <v>Arq. Alberto García</v>
      </c>
      <c r="C222" s="12" t="str">
        <f>'Alexandro Carrasco'!C138</f>
        <v>Biblioteca Tec de Monterrey</v>
      </c>
      <c r="D222" s="110" t="str">
        <f>'Alexandro Carrasco'!D138</f>
        <v>Ciudad de México</v>
      </c>
      <c r="E222" s="12" t="str">
        <f>'Alexandro Carrasco'!E138</f>
        <v>SFV</v>
      </c>
      <c r="F222" s="108" t="str">
        <f>'Alexandro Carrasco'!F138</f>
        <v>1. Prospección</v>
      </c>
      <c r="G222" s="48">
        <f>'Alexandro Carrasco'!G138</f>
        <v>45824</v>
      </c>
      <c r="H222" s="49" t="str">
        <f>'Alexandro Carrasco'!H138</f>
        <v/>
      </c>
      <c r="I222" s="21" t="str">
        <f>'Alexandro Carrasco'!I138</f>
        <v/>
      </c>
      <c r="J222" s="108" t="str">
        <f>'Alexandro Carrasco'!J138</f>
        <v>Cliente Recurrente (Recompra/Ampliación)</v>
      </c>
      <c r="K222" s="12" t="str">
        <f>'Alexandro Carrasco'!K138</f>
        <v>Alexandro Carrasco</v>
      </c>
    </row>
    <row r="223" ht="22.5" customHeight="1">
      <c r="A223" s="107" t="str">
        <f>'Alexandro Carrasco'!A139</f>
        <v>PSP12</v>
      </c>
      <c r="B223" s="12" t="str">
        <f>'Alexandro Carrasco'!B139</f>
        <v>Ing. René Montes</v>
      </c>
      <c r="C223" s="12" t="str">
        <f>'Alexandro Carrasco'!C139</f>
        <v>RML PRO DE VIDRIO Y ALUM SACV.</v>
      </c>
      <c r="D223" s="110" t="str">
        <f>'Alexandro Carrasco'!D139</f>
        <v>Querétaro</v>
      </c>
      <c r="E223" s="12" t="str">
        <f>'Alexandro Carrasco'!E139</f>
        <v>SFV</v>
      </c>
      <c r="F223" s="108" t="str">
        <f>'Alexandro Carrasco'!F139</f>
        <v>5. Visita Técnica / Diagnóstico en Sitio</v>
      </c>
      <c r="G223" s="48">
        <f>'Alexandro Carrasco'!G139</f>
        <v>45822</v>
      </c>
      <c r="H223" s="49">
        <f>'Alexandro Carrasco'!H139</f>
        <v>198958</v>
      </c>
      <c r="I223" s="21" t="str">
        <f>'Alexandro Carrasco'!I139</f>
        <v/>
      </c>
      <c r="J223" s="108" t="str">
        <f>'Alexandro Carrasco'!J139</f>
        <v>Llamada en Frío (Prospección)</v>
      </c>
      <c r="K223" s="12" t="str">
        <f>'Alexandro Carrasco'!K139</f>
        <v>Alexandro Carrasco</v>
      </c>
    </row>
    <row r="224" ht="22.5" customHeight="1">
      <c r="A224" s="107" t="str">
        <f>'Alexandro Carrasco'!A140</f>
        <v>PSP80</v>
      </c>
      <c r="B224" s="12" t="str">
        <f>'Alexandro Carrasco'!B140</f>
        <v>Ing. José Antonio Rodríguez</v>
      </c>
      <c r="C224" s="12" t="str">
        <f>'Alexandro Carrasco'!C140</f>
        <v>Amazon</v>
      </c>
      <c r="D224" s="12" t="str">
        <f>'Alexandro Carrasco'!D140</f>
        <v>Bajío y Querétaro</v>
      </c>
      <c r="E224" s="12" t="str">
        <f>'Alexandro Carrasco'!E140</f>
        <v>SFV</v>
      </c>
      <c r="F224" s="108" t="str">
        <f>'Alexandro Carrasco'!F140</f>
        <v>1. Prospección</v>
      </c>
      <c r="G224" s="48">
        <f>'Alexandro Carrasco'!G140</f>
        <v>45814</v>
      </c>
      <c r="H224" s="49" t="str">
        <f>'Alexandro Carrasco'!H140</f>
        <v/>
      </c>
      <c r="I224" s="21" t="str">
        <f>'Alexandro Carrasco'!I140</f>
        <v/>
      </c>
      <c r="J224" s="108" t="str">
        <f>'Alexandro Carrasco'!J140</f>
        <v>LinkedIn (Orgánico)</v>
      </c>
      <c r="K224" s="12" t="str">
        <f>'Alexandro Carrasco'!K140</f>
        <v>Alexandro Carrasco</v>
      </c>
    </row>
    <row r="225" ht="22.5" customHeight="1">
      <c r="A225" s="107" t="str">
        <f>'Alexandro Carrasco'!A141</f>
        <v>PSP16</v>
      </c>
      <c r="B225" s="12" t="str">
        <f>'Alexandro Carrasco'!B141</f>
        <v>Ing. Ignacio Mejía</v>
      </c>
      <c r="C225" s="12" t="str">
        <f>'Alexandro Carrasco'!C141</f>
        <v>Juárez 23 (residencial)</v>
      </c>
      <c r="D225" s="110" t="str">
        <f>'Alexandro Carrasco'!D141</f>
        <v>Ciudad de México</v>
      </c>
      <c r="E225" s="12" t="str">
        <f>'Alexandro Carrasco'!E141</f>
        <v>SFV</v>
      </c>
      <c r="F225" s="108" t="str">
        <f>'Alexandro Carrasco'!F141</f>
        <v>12. Cierre de Venta (Contrato / OC)</v>
      </c>
      <c r="G225" s="48">
        <f>'Alexandro Carrasco'!G141</f>
        <v>45791</v>
      </c>
      <c r="H225" s="49">
        <f>'Alexandro Carrasco'!H141</f>
        <v>24369</v>
      </c>
      <c r="I225" s="21" t="str">
        <f>'Alexandro Carrasco'!I141</f>
        <v/>
      </c>
      <c r="J225" s="108" t="str">
        <f>'Alexandro Carrasco'!J141</f>
        <v>Llamada en Frío (Prospección)</v>
      </c>
      <c r="K225" s="12" t="str">
        <f>'Alexandro Carrasco'!K141</f>
        <v>Alexandro Carrasco</v>
      </c>
    </row>
    <row r="226" ht="22.5" customHeight="1">
      <c r="A226" s="107" t="str">
        <f>'Alexandro Carrasco'!A142</f>
        <v>PSP10</v>
      </c>
      <c r="B226" s="12" t="str">
        <f>'Alexandro Carrasco'!B142</f>
        <v>Ing. Azael Carrasco</v>
      </c>
      <c r="C226" s="12" t="str">
        <f>'Alexandro Carrasco'!C142</f>
        <v>Terminal Ferr del Valle de Mex (FERROVALLE).</v>
      </c>
      <c r="D226" s="12" t="str">
        <f>'Alexandro Carrasco'!D142</f>
        <v>Edo. de México</v>
      </c>
      <c r="E226" s="12" t="str">
        <f>'Alexandro Carrasco'!E142</f>
        <v>SFV</v>
      </c>
      <c r="F226" s="108" t="str">
        <f>'Alexandro Carrasco'!F142</f>
        <v>8. Propuesta Enviada</v>
      </c>
      <c r="G226" s="48">
        <f>'Alexandro Carrasco'!G142</f>
        <v>45784</v>
      </c>
      <c r="H226" s="49">
        <f>'Alexandro Carrasco'!H142</f>
        <v>588274</v>
      </c>
      <c r="I226" s="21" t="str">
        <f>'Alexandro Carrasco'!I142</f>
        <v/>
      </c>
      <c r="J226" s="108" t="str">
        <f>'Alexandro Carrasco'!J142</f>
        <v>Llamada en Frío (Prospección)</v>
      </c>
      <c r="K226" s="12" t="str">
        <f>'Alexandro Carrasco'!K142</f>
        <v>Alexandro Carrasco</v>
      </c>
    </row>
    <row r="227" ht="22.5" customHeight="1">
      <c r="A227" s="107" t="str">
        <f>'Alexandro Carrasco'!A143</f>
        <v>PSP5</v>
      </c>
      <c r="B227" s="12" t="str">
        <f>'Alexandro Carrasco'!B143</f>
        <v>Ing. Eduardo del Valle</v>
      </c>
      <c r="C227" s="12" t="str">
        <f>'Alexandro Carrasco'!C143</f>
        <v>Alstom</v>
      </c>
      <c r="D227" s="12" t="str">
        <f>'Alexandro Carrasco'!D143</f>
        <v>Morelia</v>
      </c>
      <c r="E227" s="12" t="str">
        <f>'Alexandro Carrasco'!E143</f>
        <v>SFV</v>
      </c>
      <c r="F227" s="108" t="str">
        <f>'Alexandro Carrasco'!F143</f>
        <v>4. Levantamiento de Requerimientos</v>
      </c>
      <c r="G227" s="48">
        <f>'Alexandro Carrasco'!G143</f>
        <v>45775</v>
      </c>
      <c r="H227" s="49">
        <f>'Alexandro Carrasco'!H143</f>
        <v>117537</v>
      </c>
      <c r="I227" s="21" t="str">
        <f>'Alexandro Carrasco'!I143</f>
        <v/>
      </c>
      <c r="J227" s="108" t="str">
        <f>'Alexandro Carrasco'!J143</f>
        <v>Llamada en Frío (Prospección)</v>
      </c>
      <c r="K227" s="12" t="str">
        <f>'Alexandro Carrasco'!K143</f>
        <v>Alexandro Carrasco</v>
      </c>
    </row>
    <row r="228" ht="22.5" customHeight="1">
      <c r="A228" s="107" t="str">
        <f>'Alexandro Carrasco'!A144</f>
        <v>PSP127</v>
      </c>
      <c r="B228" s="12" t="str">
        <f>'Alexandro Carrasco'!B144</f>
        <v>Rafael Domínguez</v>
      </c>
      <c r="C228" s="12" t="str">
        <f>'Alexandro Carrasco'!C144</f>
        <v>Nestlé Querétaro</v>
      </c>
      <c r="D228" s="110" t="str">
        <f>'Alexandro Carrasco'!D144</f>
        <v>Querétaro</v>
      </c>
      <c r="E228" s="12" t="str">
        <f>'Alexandro Carrasco'!E144</f>
        <v>SFV</v>
      </c>
      <c r="F228" s="108" t="str">
        <f>'Alexandro Carrasco'!F144</f>
        <v>1. Prospección</v>
      </c>
      <c r="G228" s="48">
        <f>'Alexandro Carrasco'!G144</f>
        <v>45770</v>
      </c>
      <c r="H228" s="49" t="str">
        <f>'Alexandro Carrasco'!H144</f>
        <v/>
      </c>
      <c r="I228" s="21" t="str">
        <f>'Alexandro Carrasco'!I144</f>
        <v/>
      </c>
      <c r="J228" s="108" t="str">
        <f>'Alexandro Carrasco'!J144</f>
        <v>Referido (Cliente)</v>
      </c>
      <c r="K228" s="12" t="str">
        <f>'Alexandro Carrasco'!K144</f>
        <v>Alexandro Carrasco</v>
      </c>
    </row>
    <row r="229" ht="22.5" customHeight="1">
      <c r="A229" s="107" t="str">
        <f>'Alexandro Carrasco'!A145</f>
        <v>PSP32</v>
      </c>
      <c r="B229" s="12" t="str">
        <f>'Alexandro Carrasco'!B145</f>
        <v>Ing. Ángel Rosas</v>
      </c>
      <c r="C229" s="12" t="str">
        <f>'Alexandro Carrasco'!C145</f>
        <v>Dicabsa</v>
      </c>
      <c r="D229" s="110" t="str">
        <f>'Alexandro Carrasco'!D145</f>
        <v>Querétaro</v>
      </c>
      <c r="E229" s="12" t="str">
        <f>'Alexandro Carrasco'!E145</f>
        <v>SFV</v>
      </c>
      <c r="F229" s="108" t="str">
        <f>'Alexandro Carrasco'!F145</f>
        <v>1. Prospección</v>
      </c>
      <c r="G229" s="48">
        <f>'Alexandro Carrasco'!G145</f>
        <v>45769</v>
      </c>
      <c r="H229" s="49" t="str">
        <f>'Alexandro Carrasco'!H145</f>
        <v/>
      </c>
      <c r="I229" s="21" t="str">
        <f>'Alexandro Carrasco'!I145</f>
        <v/>
      </c>
      <c r="J229" s="108" t="str">
        <f>'Alexandro Carrasco'!J145</f>
        <v>Llamada en Frío (Prospección)</v>
      </c>
      <c r="K229" s="12" t="str">
        <f>'Alexandro Carrasco'!K145</f>
        <v>Alexandro Carrasco</v>
      </c>
    </row>
    <row r="230" ht="22.5" customHeight="1">
      <c r="A230" s="107" t="str">
        <f>'Alexandro Carrasco'!A146</f>
        <v/>
      </c>
      <c r="B230" s="12" t="str">
        <f>'Alexandro Carrasco'!B146</f>
        <v>Vanessa Quezada</v>
      </c>
      <c r="C230" s="12" t="str">
        <f>'Alexandro Carrasco'!C146</f>
        <v>GP</v>
      </c>
      <c r="D230" s="110" t="str">
        <f>'Alexandro Carrasco'!D146</f>
        <v>CDMX</v>
      </c>
      <c r="E230" s="12" t="str">
        <f>'Alexandro Carrasco'!E146</f>
        <v>SFV</v>
      </c>
      <c r="F230" s="108" t="str">
        <f>'Alexandro Carrasco'!F146</f>
        <v>5. Visita Técnica / Diagnóstico en Sitio</v>
      </c>
      <c r="G230" s="48">
        <f>'Alexandro Carrasco'!G146</f>
        <v>45736</v>
      </c>
      <c r="H230" s="49" t="str">
        <f>'Alexandro Carrasco'!H146</f>
        <v/>
      </c>
      <c r="I230" s="21" t="str">
        <f>'Alexandro Carrasco'!I146</f>
        <v/>
      </c>
      <c r="J230" s="108" t="str">
        <f>'Alexandro Carrasco'!J146</f>
        <v>Llamada en Frío (Prospección)</v>
      </c>
      <c r="K230" s="12" t="str">
        <f>'Alexandro Carrasco'!K146</f>
        <v>Alexandro Carrasco</v>
      </c>
    </row>
    <row r="231" ht="22.5" customHeight="1">
      <c r="A231" s="107" t="str">
        <f>'Alexandro Carrasco'!A147</f>
        <v>PSP11</v>
      </c>
      <c r="B231" s="12" t="str">
        <f>'Alexandro Carrasco'!B147</f>
        <v>Arq. Raúl Lorea</v>
      </c>
      <c r="C231" s="12" t="str">
        <f>'Alexandro Carrasco'!C147</f>
        <v>Edificio del Colegio de Arquitectos de Querétaro.</v>
      </c>
      <c r="D231" s="110" t="str">
        <f>'Alexandro Carrasco'!D147</f>
        <v>Querétaro</v>
      </c>
      <c r="E231" s="12" t="str">
        <f>'Alexandro Carrasco'!E147</f>
        <v>SFV</v>
      </c>
      <c r="F231" s="108" t="str">
        <f>'Alexandro Carrasco'!F147</f>
        <v>5. Visita Técnica / Diagnóstico en Sitio</v>
      </c>
      <c r="G231" s="48">
        <f>'Alexandro Carrasco'!G147</f>
        <v>45700</v>
      </c>
      <c r="H231" s="49">
        <f>'Alexandro Carrasco'!H147</f>
        <v>29297</v>
      </c>
      <c r="I231" s="21" t="str">
        <f>'Alexandro Carrasco'!I147</f>
        <v/>
      </c>
      <c r="J231" s="108" t="str">
        <f>'Alexandro Carrasco'!J147</f>
        <v>Llamada en Frío (Prospección)</v>
      </c>
      <c r="K231" s="12" t="str">
        <f>'Alexandro Carrasco'!K147</f>
        <v>Alexandro Carrasco</v>
      </c>
    </row>
    <row r="232" ht="22.5" customHeight="1">
      <c r="A232" s="107" t="str">
        <f>'Alexandro Carrasco'!A148</f>
        <v>PSP62</v>
      </c>
      <c r="B232" s="12" t="str">
        <f>'Alexandro Carrasco'!B148</f>
        <v>Álvaro Gutiérrez</v>
      </c>
      <c r="C232" s="12" t="str">
        <f>'Alexandro Carrasco'!C148</f>
        <v>Grupo Arhe</v>
      </c>
      <c r="D232" s="110" t="str">
        <f>'Alexandro Carrasco'!D148</f>
        <v>Mazatlán</v>
      </c>
      <c r="E232" s="12" t="str">
        <f>'Alexandro Carrasco'!E148</f>
        <v>SFV</v>
      </c>
      <c r="F232" s="108" t="str">
        <f>'Alexandro Carrasco'!F148</f>
        <v>1. Prospección</v>
      </c>
      <c r="G232" s="48">
        <f>'Alexandro Carrasco'!G148</f>
        <v>45699</v>
      </c>
      <c r="H232" s="49" t="str">
        <f>'Alexandro Carrasco'!H148</f>
        <v/>
      </c>
      <c r="I232" s="21" t="str">
        <f>'Alexandro Carrasco'!I148</f>
        <v/>
      </c>
      <c r="J232" s="108" t="str">
        <f>'Alexandro Carrasco'!J148</f>
        <v>Referido (Cliente)</v>
      </c>
      <c r="K232" s="12" t="str">
        <f>'Alexandro Carrasco'!K148</f>
        <v>Alexandro Carrasco</v>
      </c>
    </row>
    <row r="233" ht="22.5" customHeight="1">
      <c r="A233" s="107" t="str">
        <f>'Alexandro Carrasco'!A149</f>
        <v>PSP63</v>
      </c>
      <c r="B233" s="12" t="str">
        <f>'Alexandro Carrasco'!B149</f>
        <v>Sr. Armando Flores</v>
      </c>
      <c r="C233" s="12" t="str">
        <f>'Alexandro Carrasco'!C149</f>
        <v>Gimnasio (SemiTransparentes)</v>
      </c>
      <c r="D233" s="110" t="str">
        <f>'Alexandro Carrasco'!D149</f>
        <v>Ciudad de México</v>
      </c>
      <c r="E233" s="12" t="str">
        <f>'Alexandro Carrasco'!E149</f>
        <v>SFV</v>
      </c>
      <c r="F233" s="108" t="str">
        <f>'Alexandro Carrasco'!F149</f>
        <v>8. Propuesta Enviada</v>
      </c>
      <c r="G233" s="48">
        <f>'Alexandro Carrasco'!G149</f>
        <v>45693</v>
      </c>
      <c r="H233" s="49" t="str">
        <f>'Alexandro Carrasco'!H149</f>
        <v/>
      </c>
      <c r="I233" s="21" t="str">
        <f>'Alexandro Carrasco'!I149</f>
        <v/>
      </c>
      <c r="J233" s="108" t="str">
        <f>'Alexandro Carrasco'!J149</f>
        <v>Referido (Empleado/Interno)</v>
      </c>
      <c r="K233" s="12" t="str">
        <f>'Alexandro Carrasco'!K149</f>
        <v>Alexandro Carrasco</v>
      </c>
    </row>
    <row r="234" ht="22.5" customHeight="1">
      <c r="A234" s="107" t="str">
        <f>'Alexandro Carrasco'!A150</f>
        <v>PSP18</v>
      </c>
      <c r="B234" s="12" t="str">
        <f>'Alexandro Carrasco'!B150</f>
        <v>Arq. Pablo Ibargüengoitia</v>
      </c>
      <c r="C234" s="12" t="str">
        <f>'Alexandro Carrasco'!C150</f>
        <v>Nápoles 45</v>
      </c>
      <c r="D234" s="110" t="str">
        <f>'Alexandro Carrasco'!D150</f>
        <v>Ciudad de México</v>
      </c>
      <c r="E234" s="12" t="str">
        <f>'Alexandro Carrasco'!E150</f>
        <v>SFV</v>
      </c>
      <c r="F234" s="108" t="str">
        <f>'Alexandro Carrasco'!F150</f>
        <v>8. Propuesta Enviada</v>
      </c>
      <c r="G234" s="48">
        <f>'Alexandro Carrasco'!G150</f>
        <v>45637</v>
      </c>
      <c r="H234" s="49">
        <f>'Alexandro Carrasco'!H150</f>
        <v>30783</v>
      </c>
      <c r="I234" s="21" t="str">
        <f>'Alexandro Carrasco'!I150</f>
        <v/>
      </c>
      <c r="J234" s="108" t="str">
        <f>'Alexandro Carrasco'!J150</f>
        <v>Llamada en Frío (Prospección)</v>
      </c>
      <c r="K234" s="12" t="str">
        <f>'Alexandro Carrasco'!K150</f>
        <v>Alexandro Carrasco</v>
      </c>
    </row>
    <row r="235" ht="22.5" customHeight="1">
      <c r="A235" s="107" t="str">
        <f>'Alexandro Carrasco'!A151</f>
        <v>PSP19</v>
      </c>
      <c r="B235" s="12" t="str">
        <f>'Alexandro Carrasco'!B151</f>
        <v>Arq. Pablo Ibargüengoitia</v>
      </c>
      <c r="C235" s="12" t="str">
        <f>'Alexandro Carrasco'!C151</f>
        <v>Nápoles 45</v>
      </c>
      <c r="D235" s="110" t="str">
        <f>'Alexandro Carrasco'!D151</f>
        <v>Ciudad de México</v>
      </c>
      <c r="E235" s="12" t="str">
        <f>'Alexandro Carrasco'!E151</f>
        <v>BC</v>
      </c>
      <c r="F235" s="108" t="str">
        <f>'Alexandro Carrasco'!F151</f>
        <v>7. Estimación / Cotización</v>
      </c>
      <c r="G235" s="48">
        <f>'Alexandro Carrasco'!G151</f>
        <v>45637</v>
      </c>
      <c r="H235" s="49" t="str">
        <f>'Alexandro Carrasco'!H151</f>
        <v/>
      </c>
      <c r="I235" s="21" t="str">
        <f>'Alexandro Carrasco'!I151</f>
        <v/>
      </c>
      <c r="J235" s="108" t="str">
        <f>'Alexandro Carrasco'!J151</f>
        <v>Llamada en Frío (Prospección)</v>
      </c>
      <c r="K235" s="12" t="str">
        <f>'Alexandro Carrasco'!K151</f>
        <v>Alexandro Carrasco</v>
      </c>
    </row>
    <row r="236" ht="22.5" customHeight="1">
      <c r="A236" s="107" t="str">
        <f>'Alexandro Carrasco'!A152</f>
        <v>PSP77</v>
      </c>
      <c r="B236" s="12" t="str">
        <f>'Alexandro Carrasco'!B152</f>
        <v>Ing. Alejandro Macías </v>
      </c>
      <c r="C236" s="12" t="str">
        <f>'Alexandro Carrasco'!C152</f>
        <v>P&amp;G</v>
      </c>
      <c r="D236" s="110" t="str">
        <f>'Alexandro Carrasco'!D152</f>
        <v>Apaseo el Grande</v>
      </c>
      <c r="E236" s="12" t="str">
        <f>'Alexandro Carrasco'!E152</f>
        <v>SFV</v>
      </c>
      <c r="F236" s="108" t="str">
        <f>'Alexandro Carrasco'!F152</f>
        <v>1. Prospección</v>
      </c>
      <c r="G236" s="48">
        <f>'Alexandro Carrasco'!G152</f>
        <v>45560</v>
      </c>
      <c r="H236" s="49" t="str">
        <f>'Alexandro Carrasco'!H152</f>
        <v/>
      </c>
      <c r="I236" s="21" t="str">
        <f>'Alexandro Carrasco'!I152</f>
        <v/>
      </c>
      <c r="J236" s="108" t="str">
        <f>'Alexandro Carrasco'!J152</f>
        <v>Llamada en Frío (Prospección)</v>
      </c>
      <c r="K236" s="12" t="str">
        <f>'Alexandro Carrasco'!K152</f>
        <v>Alexandro Carrasco</v>
      </c>
    </row>
    <row r="237" ht="22.5" customHeight="1">
      <c r="A237" s="107" t="str">
        <f>'Alexandro Carrasco'!A153</f>
        <v>PSP46</v>
      </c>
      <c r="B237" s="12" t="str">
        <f>'Alexandro Carrasco'!B153</f>
        <v>Ing. Juan Carlos Gómez</v>
      </c>
      <c r="C237" s="12" t="str">
        <f>'Alexandro Carrasco'!C153</f>
        <v>Bachoco</v>
      </c>
      <c r="D237" s="110" t="str">
        <f>'Alexandro Carrasco'!D153</f>
        <v>Celaya</v>
      </c>
      <c r="E237" s="12" t="str">
        <f>'Alexandro Carrasco'!E153</f>
        <v>SFV + BC</v>
      </c>
      <c r="F237" s="108" t="str">
        <f>'Alexandro Carrasco'!F153</f>
        <v>1. Prospección</v>
      </c>
      <c r="G237" s="48">
        <f>'Alexandro Carrasco'!G153</f>
        <v>45553</v>
      </c>
      <c r="H237" s="49" t="str">
        <f>'Alexandro Carrasco'!H153</f>
        <v/>
      </c>
      <c r="I237" s="21" t="str">
        <f>'Alexandro Carrasco'!I153</f>
        <v/>
      </c>
      <c r="J237" s="108" t="str">
        <f>'Alexandro Carrasco'!J153</f>
        <v>Llamada en Frío (Prospección)</v>
      </c>
      <c r="K237" s="12" t="str">
        <f>'Alexandro Carrasco'!K153</f>
        <v>Alexandro Carrasco</v>
      </c>
    </row>
    <row r="238" ht="22.5" customHeight="1">
      <c r="A238" s="107" t="str">
        <f>'Alexandro Carrasco'!A154</f>
        <v>PSP13</v>
      </c>
      <c r="B238" s="12" t="str">
        <f>'Alexandro Carrasco'!B154</f>
        <v>Ing. Martha Viridiana Guerrero</v>
      </c>
      <c r="C238" s="12" t="str">
        <f>'Alexandro Carrasco'!C154</f>
        <v>Whirlpool.</v>
      </c>
      <c r="D238" s="110" t="str">
        <f>'Alexandro Carrasco'!D154</f>
        <v>Celaya</v>
      </c>
      <c r="E238" s="12" t="str">
        <f>'Alexandro Carrasco'!E154</f>
        <v>SFV</v>
      </c>
      <c r="F238" s="108" t="str">
        <f>'Alexandro Carrasco'!F154</f>
        <v>5. Visita Técnica / Diagnóstico en Sitio</v>
      </c>
      <c r="G238" s="48">
        <f>'Alexandro Carrasco'!G154</f>
        <v>45519</v>
      </c>
      <c r="H238" s="49">
        <f>'Alexandro Carrasco'!H154</f>
        <v>466101</v>
      </c>
      <c r="I238" s="21" t="str">
        <f>'Alexandro Carrasco'!I154</f>
        <v/>
      </c>
      <c r="J238" s="108" t="str">
        <f>'Alexandro Carrasco'!J154</f>
        <v>Llamada en Frío (Prospección)</v>
      </c>
      <c r="K238" s="12" t="str">
        <f>'Alexandro Carrasco'!K154</f>
        <v>Alexandro Carrasco</v>
      </c>
    </row>
    <row r="239" ht="22.5" customHeight="1">
      <c r="A239" s="107" t="str">
        <f>'Alexandro Carrasco'!A155</f>
        <v>PSP24</v>
      </c>
      <c r="B239" s="12" t="str">
        <f>'Alexandro Carrasco'!B155</f>
        <v>Jorge Chahín </v>
      </c>
      <c r="C239" s="12" t="str">
        <f>'Alexandro Carrasco'!C155</f>
        <v>Residencial</v>
      </c>
      <c r="D239" s="110" t="str">
        <f>'Alexandro Carrasco'!D155</f>
        <v>Ciudad de México</v>
      </c>
      <c r="E239" s="12" t="str">
        <f>'Alexandro Carrasco'!E155</f>
        <v>SFV</v>
      </c>
      <c r="F239" s="108" t="str">
        <f>'Alexandro Carrasco'!F155</f>
        <v>12. Cierre de Venta (Contrato / OC)</v>
      </c>
      <c r="G239" s="48">
        <f>'Alexandro Carrasco'!G155</f>
        <v>45516</v>
      </c>
      <c r="H239" s="49">
        <f>'Alexandro Carrasco'!H155</f>
        <v>8620</v>
      </c>
      <c r="I239" s="21" t="str">
        <f>'Alexandro Carrasco'!I155</f>
        <v/>
      </c>
      <c r="J239" s="108" t="str">
        <f>'Alexandro Carrasco'!J155</f>
        <v>Cliente Recurrente (Recompra/Ampliación)</v>
      </c>
      <c r="K239" s="12" t="str">
        <f>'Alexandro Carrasco'!K155</f>
        <v>Alexandro Carrasco</v>
      </c>
    </row>
    <row r="240" ht="22.5" customHeight="1">
      <c r="A240" s="107" t="str">
        <f>'Alexandro Carrasco'!A156</f>
        <v>PSP88</v>
      </c>
      <c r="B240" s="12" t="str">
        <f>'Alexandro Carrasco'!B156</f>
        <v>Moisés Gómez (Xóchitl Gálvez)</v>
      </c>
      <c r="C240" s="12" t="str">
        <f>'Alexandro Carrasco'!C156</f>
        <v>Edificios Inteligentes</v>
      </c>
      <c r="D240" s="110" t="str">
        <f>'Alexandro Carrasco'!D156</f>
        <v>Mexico</v>
      </c>
      <c r="E240" s="12" t="str">
        <f>'Alexandro Carrasco'!E156</f>
        <v>SFV BiPV</v>
      </c>
      <c r="F240" s="108" t="str">
        <f>'Alexandro Carrasco'!F156</f>
        <v>1. Prospección</v>
      </c>
      <c r="G240" s="48">
        <f>'Alexandro Carrasco'!G156</f>
        <v>45516</v>
      </c>
      <c r="H240" s="49" t="str">
        <f>'Alexandro Carrasco'!H156</f>
        <v/>
      </c>
      <c r="I240" s="21" t="str">
        <f>'Alexandro Carrasco'!I156</f>
        <v/>
      </c>
      <c r="J240" s="108" t="str">
        <f>'Alexandro Carrasco'!J156</f>
        <v>Llamada en Frío (Prospección)</v>
      </c>
      <c r="K240" s="12" t="str">
        <f>'Alexandro Carrasco'!K156</f>
        <v>Alexandro Carrasco</v>
      </c>
    </row>
    <row r="241" ht="22.5" customHeight="1">
      <c r="A241" s="107" t="str">
        <f>'Alexandro Carrasco'!A157</f>
        <v>PSP23</v>
      </c>
      <c r="B241" s="12" t="str">
        <f>'Alexandro Carrasco'!B157</f>
        <v>Mauricio Chahín</v>
      </c>
      <c r="C241" s="12" t="str">
        <f>'Alexandro Carrasco'!C157</f>
        <v>Residencial</v>
      </c>
      <c r="D241" s="110" t="str">
        <f>'Alexandro Carrasco'!D157</f>
        <v>Ciudad de México</v>
      </c>
      <c r="E241" s="12" t="str">
        <f>'Alexandro Carrasco'!E157</f>
        <v>SFV</v>
      </c>
      <c r="F241" s="108" t="str">
        <f>'Alexandro Carrasco'!F157</f>
        <v>5. Visita Técnica / Diagnóstico en Sitio</v>
      </c>
      <c r="G241" s="48">
        <f>'Alexandro Carrasco'!G157</f>
        <v>45513</v>
      </c>
      <c r="H241" s="49">
        <f>'Alexandro Carrasco'!H157</f>
        <v>41051</v>
      </c>
      <c r="I241" s="21" t="str">
        <f>'Alexandro Carrasco'!I157</f>
        <v/>
      </c>
      <c r="J241" s="108" t="str">
        <f>'Alexandro Carrasco'!J157</f>
        <v>Referido (Cliente)</v>
      </c>
      <c r="K241" s="12" t="str">
        <f>'Alexandro Carrasco'!K157</f>
        <v>Alexandro Carrasco</v>
      </c>
    </row>
    <row r="242" ht="22.5" customHeight="1">
      <c r="A242" s="107" t="str">
        <f>'Alexandro Carrasco'!A158</f>
        <v>PSP143</v>
      </c>
      <c r="B242" s="12" t="str">
        <f>'Alexandro Carrasco'!B158</f>
        <v>Jorge Francisco Gaona</v>
      </c>
      <c r="C242" s="12" t="str">
        <f>'Alexandro Carrasco'!C158</f>
        <v>Seica</v>
      </c>
      <c r="D242" s="12" t="str">
        <f>'Alexandro Carrasco'!D158</f>
        <v>Tijuana y EdoMex</v>
      </c>
      <c r="E242" s="12" t="str">
        <f>'Alexandro Carrasco'!E158</f>
        <v>SFV</v>
      </c>
      <c r="F242" s="108" t="str">
        <f>'Alexandro Carrasco'!F158</f>
        <v>1. Prospección</v>
      </c>
      <c r="G242" s="48">
        <f>'Alexandro Carrasco'!G158</f>
        <v>45449</v>
      </c>
      <c r="H242" s="49" t="str">
        <f>'Alexandro Carrasco'!H158</f>
        <v/>
      </c>
      <c r="I242" s="21" t="str">
        <f>'Alexandro Carrasco'!I158</f>
        <v/>
      </c>
      <c r="J242" s="108" t="str">
        <f>'Alexandro Carrasco'!J158</f>
        <v>LinkedIn (Orgánico)</v>
      </c>
      <c r="K242" s="12" t="str">
        <f>'Alexandro Carrasco'!K158</f>
        <v>Alexandro Carrasco</v>
      </c>
    </row>
    <row r="243" ht="22.5" customHeight="1">
      <c r="A243" s="107" t="str">
        <f>'Alexandro Carrasco'!A159</f>
        <v>PSP56</v>
      </c>
      <c r="B243" s="12" t="str">
        <f>'Alexandro Carrasco'!B159</f>
        <v>Ing. Juan José Risoul</v>
      </c>
      <c r="C243" s="12" t="str">
        <f>'Alexandro Carrasco'!C159</f>
        <v>Grupo Sacmag</v>
      </c>
      <c r="D243" s="110" t="str">
        <f>'Alexandro Carrasco'!D159</f>
        <v>Ciudad de México</v>
      </c>
      <c r="E243" s="12" t="str">
        <f>'Alexandro Carrasco'!E159</f>
        <v>SFV</v>
      </c>
      <c r="F243" s="108" t="str">
        <f>'Alexandro Carrasco'!F159</f>
        <v>1. Prospección</v>
      </c>
      <c r="G243" s="48">
        <f>'Alexandro Carrasco'!G159</f>
        <v>45421</v>
      </c>
      <c r="H243" s="49" t="str">
        <f>'Alexandro Carrasco'!H159</f>
        <v/>
      </c>
      <c r="I243" s="21" t="str">
        <f>'Alexandro Carrasco'!I159</f>
        <v/>
      </c>
      <c r="J243" s="108" t="str">
        <f>'Alexandro Carrasco'!J159</f>
        <v>Visita en Frío (Prospección)</v>
      </c>
      <c r="K243" s="12" t="str">
        <f>'Alexandro Carrasco'!K159</f>
        <v>Alexandro Carrasco</v>
      </c>
    </row>
    <row r="244" ht="22.5" customHeight="1">
      <c r="A244" s="107" t="str">
        <f>'Alexandro Carrasco'!A160</f>
        <v>PSP61</v>
      </c>
      <c r="B244" s="12" t="str">
        <f>'Alexandro Carrasco'!B160</f>
        <v>Ing. Álvaro Arreguín</v>
      </c>
      <c r="C244" s="12" t="str">
        <f>'Alexandro Carrasco'!C160</f>
        <v>Rehau</v>
      </c>
      <c r="D244" s="110" t="str">
        <f>'Alexandro Carrasco'!D160</f>
        <v>Celaya</v>
      </c>
      <c r="E244" s="12" t="str">
        <f>'Alexandro Carrasco'!E160</f>
        <v>SFV</v>
      </c>
      <c r="F244" s="108" t="str">
        <f>'Alexandro Carrasco'!F160</f>
        <v>8. Propuesta Enviada</v>
      </c>
      <c r="G244" s="48">
        <f>'Alexandro Carrasco'!G160</f>
        <v>45406</v>
      </c>
      <c r="H244" s="49" t="str">
        <f>'Alexandro Carrasco'!H160</f>
        <v/>
      </c>
      <c r="I244" s="21" t="str">
        <f>'Alexandro Carrasco'!I160</f>
        <v/>
      </c>
      <c r="J244" s="108" t="str">
        <f>'Alexandro Carrasco'!J160</f>
        <v>Referido (Cliente)</v>
      </c>
      <c r="K244" s="12" t="str">
        <f>'Alexandro Carrasco'!K160</f>
        <v>Alexandro Carrasco</v>
      </c>
    </row>
    <row r="245" ht="22.5" customHeight="1">
      <c r="A245" s="107" t="str">
        <f>'Alexandro Carrasco'!A161</f>
        <v>PSP112</v>
      </c>
      <c r="B245" s="12" t="str">
        <f>'Alexandro Carrasco'!B161</f>
        <v>Ing. Octavio González</v>
      </c>
      <c r="C245" s="12" t="str">
        <f>'Alexandro Carrasco'!C161</f>
        <v>Constructora Insur</v>
      </c>
      <c r="D245" s="110" t="str">
        <f>'Alexandro Carrasco'!D161</f>
        <v>Querétaro</v>
      </c>
      <c r="E245" s="12" t="str">
        <f>'Alexandro Carrasco'!E161</f>
        <v>SFV</v>
      </c>
      <c r="F245" s="108" t="str">
        <f>'Alexandro Carrasco'!F161</f>
        <v>1. Prospección</v>
      </c>
      <c r="G245" s="48">
        <f>'Alexandro Carrasco'!G161</f>
        <v>45406</v>
      </c>
      <c r="H245" s="49" t="str">
        <f>'Alexandro Carrasco'!H161</f>
        <v/>
      </c>
      <c r="I245" s="21" t="str">
        <f>'Alexandro Carrasco'!I161</f>
        <v/>
      </c>
      <c r="J245" s="108" t="str">
        <f>'Alexandro Carrasco'!J161</f>
        <v>Llamada en Frío (Prospección)</v>
      </c>
      <c r="K245" s="12" t="str">
        <f>'Alexandro Carrasco'!K161</f>
        <v>Alexandro Carrasco</v>
      </c>
    </row>
    <row r="246" ht="22.5" customHeight="1">
      <c r="A246" s="107" t="str">
        <f>'Alexandro Carrasco'!A162</f>
        <v>PSP8</v>
      </c>
      <c r="B246" s="12" t="str">
        <f>'Alexandro Carrasco'!B162</f>
        <v>Sr. José Honorato</v>
      </c>
      <c r="C246" s="12" t="str">
        <f>'Alexandro Carrasco'!C162</f>
        <v>Plaza Sol de Cuernavaca</v>
      </c>
      <c r="D246" s="12" t="str">
        <f>'Alexandro Carrasco'!D162</f>
        <v>Cuernavaca, Morelos</v>
      </c>
      <c r="E246" s="12" t="str">
        <f>'Alexandro Carrasco'!E162</f>
        <v>SFV</v>
      </c>
      <c r="F246" s="108" t="str">
        <f>'Alexandro Carrasco'!F162</f>
        <v>5. Visita Técnica / Diagnóstico en Sitio</v>
      </c>
      <c r="G246" s="48">
        <f>'Alexandro Carrasco'!G162</f>
        <v>45384</v>
      </c>
      <c r="H246" s="49">
        <f>'Alexandro Carrasco'!H162</f>
        <v>92642</v>
      </c>
      <c r="I246" s="21" t="str">
        <f>'Alexandro Carrasco'!I162</f>
        <v/>
      </c>
      <c r="J246" s="108" t="str">
        <f>'Alexandro Carrasco'!J162</f>
        <v>Cliente Recurrente (Recompra/Ampliación)</v>
      </c>
      <c r="K246" s="12" t="str">
        <f>'Alexandro Carrasco'!K162</f>
        <v>Alexandro Carrasco</v>
      </c>
    </row>
    <row r="247" ht="22.5" customHeight="1">
      <c r="A247" s="107" t="str">
        <f>'Alexandro Carrasco'!A163</f>
        <v/>
      </c>
      <c r="B247" s="12" t="str">
        <f>'Alexandro Carrasco'!B163</f>
        <v>Fernando García Estrada</v>
      </c>
      <c r="C247" s="12" t="str">
        <f>'Alexandro Carrasco'!C163</f>
        <v>Grupo Ebor</v>
      </c>
      <c r="D247" s="110" t="str">
        <f>'Alexandro Carrasco'!D163</f>
        <v>Querétaro</v>
      </c>
      <c r="E247" s="12" t="str">
        <f>'Alexandro Carrasco'!E163</f>
        <v>SFV</v>
      </c>
      <c r="F247" s="108" t="str">
        <f>'Alexandro Carrasco'!F163</f>
        <v>1. Prospección</v>
      </c>
      <c r="G247" s="48">
        <f>'Alexandro Carrasco'!G163</f>
        <v>45251</v>
      </c>
      <c r="H247" s="49" t="str">
        <f>'Alexandro Carrasco'!H163</f>
        <v/>
      </c>
      <c r="I247" s="21" t="str">
        <f>'Alexandro Carrasco'!I163</f>
        <v/>
      </c>
      <c r="J247" s="108" t="str">
        <f>'Alexandro Carrasco'!J163</f>
        <v>Referido (Cliente)</v>
      </c>
      <c r="K247" s="12" t="str">
        <f>'Alexandro Carrasco'!K163</f>
        <v>Alexandro Carrasco</v>
      </c>
    </row>
    <row r="248" ht="22.5" customHeight="1">
      <c r="A248" s="107" t="str">
        <f>'Alexandro Carrasco'!A164</f>
        <v>PSP14</v>
      </c>
      <c r="B248" s="12" t="str">
        <f>'Alexandro Carrasco'!B164</f>
        <v>Ing. Alberto Kababie</v>
      </c>
      <c r="C248" s="12" t="str">
        <f>'Alexandro Carrasco'!C164</f>
        <v>Biotécnica Plástica SA DE CV.</v>
      </c>
      <c r="D248" s="12" t="str">
        <f>'Alexandro Carrasco'!D164</f>
        <v>Edo. de México</v>
      </c>
      <c r="E248" s="12" t="str">
        <f>'Alexandro Carrasco'!E164</f>
        <v>SFV</v>
      </c>
      <c r="F248" s="108" t="str">
        <f>'Alexandro Carrasco'!F164</f>
        <v>5. Visita Técnica / Diagnóstico en Sitio</v>
      </c>
      <c r="G248" s="48">
        <f>'Alexandro Carrasco'!G164</f>
        <v>45203</v>
      </c>
      <c r="H248" s="49">
        <f>'Alexandro Carrasco'!H164</f>
        <v>293263</v>
      </c>
      <c r="I248" s="21" t="str">
        <f>'Alexandro Carrasco'!I164</f>
        <v/>
      </c>
      <c r="J248" s="108" t="str">
        <f>'Alexandro Carrasco'!J164</f>
        <v>Llamada en Frío (Prospección)</v>
      </c>
      <c r="K248" s="12" t="str">
        <f>'Alexandro Carrasco'!K164</f>
        <v>Alexandro Carrasco</v>
      </c>
    </row>
    <row r="249" ht="22.5" customHeight="1">
      <c r="A249" s="107" t="str">
        <f>'Alexandro Carrasco'!A165</f>
        <v>PSP36</v>
      </c>
      <c r="B249" s="12" t="str">
        <f>'Alexandro Carrasco'!B165</f>
        <v>Lic. Héctor Travilla</v>
      </c>
      <c r="C249" s="12" t="str">
        <f>'Alexandro Carrasco'!C165</f>
        <v>General Motors (Agencia)</v>
      </c>
      <c r="D249" s="12" t="str">
        <f>'Alexandro Carrasco'!D165</f>
        <v>Edo. de México</v>
      </c>
      <c r="E249" s="12" t="str">
        <f>'Alexandro Carrasco'!E165</f>
        <v>SFV</v>
      </c>
      <c r="F249" s="108" t="str">
        <f>'Alexandro Carrasco'!F165</f>
        <v>8. Propuesta Enviada</v>
      </c>
      <c r="G249" s="48">
        <f>'Alexandro Carrasco'!G165</f>
        <v>45181</v>
      </c>
      <c r="H249" s="49">
        <f>'Alexandro Carrasco'!H165</f>
        <v>110656</v>
      </c>
      <c r="I249" s="21" t="str">
        <f>'Alexandro Carrasco'!I165</f>
        <v/>
      </c>
      <c r="J249" s="108" t="str">
        <f>'Alexandro Carrasco'!J165</f>
        <v>Llamada en Frío (Prospección)</v>
      </c>
      <c r="K249" s="12" t="str">
        <f>'Alexandro Carrasco'!K165</f>
        <v>Alexandro Carrasco</v>
      </c>
    </row>
    <row r="250" ht="22.5" customHeight="1">
      <c r="A250" s="107" t="str">
        <f>'Alexandro Carrasco'!A166</f>
        <v>PSP55</v>
      </c>
      <c r="B250" s="12" t="str">
        <f>'Alexandro Carrasco'!B166</f>
        <v>Sr. Julián de Nicolás Gutiérrez</v>
      </c>
      <c r="C250" s="12" t="str">
        <f>'Alexandro Carrasco'!C166</f>
        <v>Diversos negocios</v>
      </c>
      <c r="D250" s="110" t="str">
        <f>'Alexandro Carrasco'!D166</f>
        <v>Ciudad de México</v>
      </c>
      <c r="E250" s="12" t="str">
        <f>'Alexandro Carrasco'!E166</f>
        <v>SFV</v>
      </c>
      <c r="F250" s="108" t="str">
        <f>'Alexandro Carrasco'!F166</f>
        <v>1. Prospección</v>
      </c>
      <c r="G250" s="48">
        <f>'Alexandro Carrasco'!G166</f>
        <v>45008</v>
      </c>
      <c r="H250" s="49" t="str">
        <f>'Alexandro Carrasco'!H166</f>
        <v/>
      </c>
      <c r="I250" s="21" t="str">
        <f>'Alexandro Carrasco'!I166</f>
        <v/>
      </c>
      <c r="J250" s="108" t="str">
        <f>'Alexandro Carrasco'!J166</f>
        <v>Visita en Frío (Prospección)</v>
      </c>
      <c r="K250" s="12" t="str">
        <f>'Alexandro Carrasco'!K166</f>
        <v>Alexandro Carrasco</v>
      </c>
    </row>
    <row r="251" ht="22.5" customHeight="1">
      <c r="A251" s="107" t="str">
        <f>'Alexandro Carrasco'!A167</f>
        <v>PSP74</v>
      </c>
      <c r="B251" s="12" t="str">
        <f>'Alexandro Carrasco'!B167</f>
        <v>Arq. José Luis González</v>
      </c>
      <c r="C251" s="12" t="str">
        <f>'Alexandro Carrasco'!C167</f>
        <v>Turner &amp; Townsend</v>
      </c>
      <c r="D251" s="12" t="str">
        <f>'Alexandro Carrasco'!D167</f>
        <v>Ciudad de México</v>
      </c>
      <c r="E251" s="12" t="str">
        <f>'Alexandro Carrasco'!E167</f>
        <v>SFV</v>
      </c>
      <c r="F251" s="108" t="str">
        <f>'Alexandro Carrasco'!F167</f>
        <v>1. Prospección</v>
      </c>
      <c r="G251" s="48">
        <f>'Alexandro Carrasco'!G167</f>
        <v>44916</v>
      </c>
      <c r="H251" s="49" t="str">
        <f>'Alexandro Carrasco'!H167</f>
        <v/>
      </c>
      <c r="I251" s="21" t="str">
        <f>'Alexandro Carrasco'!I167</f>
        <v/>
      </c>
      <c r="J251" s="108" t="str">
        <f>'Alexandro Carrasco'!J167</f>
        <v>Llamada en Frío (Prospección)</v>
      </c>
      <c r="K251" s="12" t="str">
        <f>'Alexandro Carrasco'!K167</f>
        <v>Alexandro Carrasco</v>
      </c>
    </row>
    <row r="252" ht="22.5" customHeight="1">
      <c r="A252" s="107" t="str">
        <f>'Alexandro Carrasco'!A168</f>
        <v>PSP54</v>
      </c>
      <c r="B252" s="12" t="str">
        <f>'Alexandro Carrasco'!B168</f>
        <v>Isaac Meemun</v>
      </c>
      <c r="C252" s="12" t="str">
        <f>'Alexandro Carrasco'!C168</f>
        <v>Gasolinera</v>
      </c>
      <c r="D252" s="12" t="str">
        <f>'Alexandro Carrasco'!D168</f>
        <v>Ciudad de México </v>
      </c>
      <c r="E252" s="12" t="str">
        <f>'Alexandro Carrasco'!E168</f>
        <v>SFV</v>
      </c>
      <c r="F252" s="108" t="str">
        <f>'Alexandro Carrasco'!F168</f>
        <v>1. Prospección</v>
      </c>
      <c r="G252" s="48">
        <f>'Alexandro Carrasco'!G168</f>
        <v>44744</v>
      </c>
      <c r="H252" s="49" t="str">
        <f>'Alexandro Carrasco'!H168</f>
        <v/>
      </c>
      <c r="I252" s="21" t="str">
        <f>'Alexandro Carrasco'!I168</f>
        <v/>
      </c>
      <c r="J252" s="108" t="str">
        <f>'Alexandro Carrasco'!J168</f>
        <v>Referido (Cliente)</v>
      </c>
      <c r="K252" s="12" t="str">
        <f>'Alexandro Carrasco'!K168</f>
        <v>Alexandro Carrasco</v>
      </c>
    </row>
    <row r="253" ht="22.5" customHeight="1">
      <c r="A253" s="107" t="str">
        <f>'Alexandro Carrasco'!A169</f>
        <v>PSP73</v>
      </c>
      <c r="B253" s="12" t="str">
        <f>'Alexandro Carrasco'!B169</f>
        <v>Arq. Jorge Carreño</v>
      </c>
      <c r="C253" s="12" t="str">
        <f>'Alexandro Carrasco'!C169</f>
        <v>CBRE</v>
      </c>
      <c r="D253" s="12" t="str">
        <f>'Alexandro Carrasco'!D169</f>
        <v>CDMX y Bajío</v>
      </c>
      <c r="E253" s="12" t="str">
        <f>'Alexandro Carrasco'!E169</f>
        <v>SFV</v>
      </c>
      <c r="F253" s="108" t="str">
        <f>'Alexandro Carrasco'!F169</f>
        <v>13. Kickoff / Inicio de Proyecto</v>
      </c>
      <c r="G253" s="48">
        <f>'Alexandro Carrasco'!G169</f>
        <v>44725</v>
      </c>
      <c r="H253" s="49" t="str">
        <f>'Alexandro Carrasco'!H169</f>
        <v/>
      </c>
      <c r="I253" s="21" t="str">
        <f>'Alexandro Carrasco'!I169</f>
        <v/>
      </c>
      <c r="J253" s="108" t="str">
        <f>'Alexandro Carrasco'!J169</f>
        <v>Llamada en Frío (Prospección)</v>
      </c>
      <c r="K253" s="12" t="str">
        <f>'Alexandro Carrasco'!K169</f>
        <v>Alexandro Carrasco</v>
      </c>
    </row>
    <row r="254" ht="22.5" customHeight="1">
      <c r="A254" s="107" t="str">
        <f>'Alexandro Carrasco'!A170</f>
        <v>PSP104</v>
      </c>
      <c r="B254" s="12" t="str">
        <f>'Alexandro Carrasco'!B170</f>
        <v>Miguel Martínez</v>
      </c>
      <c r="C254" s="12" t="str">
        <f>'Alexandro Carrasco'!C170</f>
        <v>Kidzania</v>
      </c>
      <c r="D254" s="110" t="str">
        <f>'Alexandro Carrasco'!D170</f>
        <v>CDMX</v>
      </c>
      <c r="E254" s="12" t="str">
        <f>'Alexandro Carrasco'!E170</f>
        <v>SFV</v>
      </c>
      <c r="F254" s="108" t="str">
        <f>'Alexandro Carrasco'!F170</f>
        <v>1. Prospección</v>
      </c>
      <c r="G254" s="48">
        <f>'Alexandro Carrasco'!G170</f>
        <v>44405</v>
      </c>
      <c r="H254" s="49" t="str">
        <f>'Alexandro Carrasco'!H170</f>
        <v/>
      </c>
      <c r="I254" s="21" t="str">
        <f>'Alexandro Carrasco'!I170</f>
        <v/>
      </c>
      <c r="J254" s="108" t="str">
        <f>'Alexandro Carrasco'!J170</f>
        <v>Llamada en Frío (Prospección)</v>
      </c>
      <c r="K254" s="12" t="str">
        <f>'Alexandro Carrasco'!K170</f>
        <v>Alexandro Carrasco</v>
      </c>
    </row>
    <row r="255" ht="22.5" customHeight="1">
      <c r="A255" s="107" t="str">
        <f>'Alexandro Carrasco'!A171</f>
        <v>PSP102</v>
      </c>
      <c r="B255" s="12" t="str">
        <f>'Alexandro Carrasco'!B171</f>
        <v>Ing. Arq. José Adrián León Padilla</v>
      </c>
      <c r="C255" s="12" t="str">
        <f>'Alexandro Carrasco'!C171</f>
        <v>Mercado Libre </v>
      </c>
      <c r="D255" s="110" t="str">
        <f>'Alexandro Carrasco'!D171</f>
        <v>CDMX</v>
      </c>
      <c r="E255" s="12" t="str">
        <f>'Alexandro Carrasco'!E171</f>
        <v>SFV</v>
      </c>
      <c r="F255" s="108" t="str">
        <f>'Alexandro Carrasco'!F171</f>
        <v>2. Contacto Inicial</v>
      </c>
      <c r="G255" s="48">
        <f>'Alexandro Carrasco'!G171</f>
        <v>44400</v>
      </c>
      <c r="H255" s="49" t="str">
        <f>'Alexandro Carrasco'!H171</f>
        <v/>
      </c>
      <c r="I255" s="21" t="str">
        <f>'Alexandro Carrasco'!I171</f>
        <v/>
      </c>
      <c r="J255" s="108" t="str">
        <f>'Alexandro Carrasco'!J171</f>
        <v>LinkedIn (Orgánico)</v>
      </c>
      <c r="K255" s="12" t="str">
        <f>'Alexandro Carrasco'!K171</f>
        <v>Alexandro Carrasco</v>
      </c>
    </row>
    <row r="256" ht="22.5" customHeight="1">
      <c r="A256" s="107" t="str">
        <f>'Alexandro Carrasco'!A172</f>
        <v>PSP1</v>
      </c>
      <c r="B256" s="12" t="str">
        <f>'Alexandro Carrasco'!B172</f>
        <v>Wynny</v>
      </c>
      <c r="C256" s="12" t="str">
        <f>'Alexandro Carrasco'!C172</f>
        <v>wynny</v>
      </c>
      <c r="D256" s="110" t="str">
        <f>'Alexandro Carrasco'!D172</f>
        <v>DESMEX SOLAR</v>
      </c>
      <c r="E256" s="12" t="str">
        <f>'Alexandro Carrasco'!E172</f>
        <v/>
      </c>
      <c r="F256" s="108" t="str">
        <f>'Alexandro Carrasco'!F172</f>
        <v>1. Prospección</v>
      </c>
      <c r="G256" s="48">
        <f>'Alexandro Carrasco'!G172</f>
        <v>43923</v>
      </c>
      <c r="H256" s="49">
        <f>'Alexandro Carrasco'!H172</f>
        <v>15000</v>
      </c>
      <c r="I256" s="21" t="str">
        <f>'Alexandro Carrasco'!I172</f>
        <v/>
      </c>
      <c r="J256" s="108" t="str">
        <f>'Alexandro Carrasco'!J172</f>
        <v>Email Outbound (Prospección)</v>
      </c>
      <c r="K256" s="12" t="str">
        <f>'Alexandro Carrasco'!K172</f>
        <v>Ana López</v>
      </c>
    </row>
    <row r="257" ht="22.5" customHeight="1">
      <c r="A257" s="107" t="str">
        <f>'Alexandro Carrasco'!A173</f>
        <v>PSP9</v>
      </c>
      <c r="B257" s="12" t="str">
        <f>'Alexandro Carrasco'!B173</f>
        <v>Sr. Francisco Medina</v>
      </c>
      <c r="C257" s="12" t="str">
        <f>'Alexandro Carrasco'!C173</f>
        <v>Frajuma (Proyecto 2)</v>
      </c>
      <c r="D257" s="110" t="str">
        <f>'Alexandro Carrasco'!D173</f>
        <v>Ciudad de México</v>
      </c>
      <c r="E257" s="12" t="str">
        <f>'Alexandro Carrasco'!E173</f>
        <v>SFV</v>
      </c>
      <c r="F257" s="108" t="str">
        <f>'Alexandro Carrasco'!F173</f>
        <v>12. Cierre de Venta (Contrato / OC)</v>
      </c>
      <c r="G257" s="48">
        <f>'Alexandro Carrasco'!G173</f>
        <v>43923</v>
      </c>
      <c r="H257" s="49">
        <f>'Alexandro Carrasco'!H173</f>
        <v>45200</v>
      </c>
      <c r="I257" s="21" t="str">
        <f>'Alexandro Carrasco'!I173</f>
        <v/>
      </c>
      <c r="J257" s="108" t="str">
        <f>'Alexandro Carrasco'!J173</f>
        <v>Cliente Recurrente (Recompra/Ampliación)</v>
      </c>
      <c r="K257" s="12" t="str">
        <f>'Alexandro Carrasco'!K173</f>
        <v>Alexandro Carrasco</v>
      </c>
    </row>
    <row r="258" ht="22.5" customHeight="1">
      <c r="A258" s="107" t="str">
        <f>'Alexandro Carrasco'!A174</f>
        <v>PSP79</v>
      </c>
      <c r="B258" s="12" t="str">
        <f>'Alexandro Carrasco'!B174</f>
        <v>Daniel Tovar Sánchez</v>
      </c>
      <c r="C258" s="12" t="str">
        <f>'Alexandro Carrasco'!C174</f>
        <v>Acerta</v>
      </c>
      <c r="D258" s="110" t="str">
        <f>'Alexandro Carrasco'!D174</f>
        <v>CDMX</v>
      </c>
      <c r="E258" s="12" t="str">
        <f>'Alexandro Carrasco'!E174</f>
        <v>SFV Yy BC</v>
      </c>
      <c r="F258" s="108" t="str">
        <f>'Alexandro Carrasco'!F174</f>
        <v>1. Prospección</v>
      </c>
      <c r="G258" s="48">
        <f>'Alexandro Carrasco'!G174</f>
        <v>43018</v>
      </c>
      <c r="H258" s="49" t="str">
        <f>'Alexandro Carrasco'!H174</f>
        <v/>
      </c>
      <c r="I258" s="21" t="str">
        <f>'Alexandro Carrasco'!I174</f>
        <v/>
      </c>
      <c r="J258" s="108" t="str">
        <f>'Alexandro Carrasco'!J174</f>
        <v>Llamada en Frío (Prospección)</v>
      </c>
      <c r="K258" s="12" t="str">
        <f>'Alexandro Carrasco'!K174</f>
        <v>Alexandro Carrasco</v>
      </c>
    </row>
    <row r="259" ht="22.5" customHeight="1">
      <c r="A259" s="107" t="str">
        <f>'Alexandro Carrasco'!A175</f>
        <v>PSP140</v>
      </c>
      <c r="B259" s="12" t="str">
        <f>'Alexandro Carrasco'!B175</f>
        <v>Arq. Jaime Mercado</v>
      </c>
      <c r="C259" s="12" t="str">
        <f>'Alexandro Carrasco'!C175</f>
        <v>Edificark</v>
      </c>
      <c r="D259" s="110" t="str">
        <f>'Alexandro Carrasco'!D175</f>
        <v>CDMX</v>
      </c>
      <c r="E259" s="12" t="str">
        <f>'Alexandro Carrasco'!E175</f>
        <v>SFV</v>
      </c>
      <c r="F259" s="108" t="str">
        <f>'Alexandro Carrasco'!F175</f>
        <v>1. Prospección</v>
      </c>
      <c r="G259" s="48">
        <f>'Alexandro Carrasco'!G175</f>
        <v>42724</v>
      </c>
      <c r="H259" s="49" t="str">
        <f>'Alexandro Carrasco'!H175</f>
        <v/>
      </c>
      <c r="I259" s="21" t="str">
        <f>'Alexandro Carrasco'!I175</f>
        <v/>
      </c>
      <c r="J259" s="108" t="str">
        <f>'Alexandro Carrasco'!J175</f>
        <v>Referido (Cliente)</v>
      </c>
      <c r="K259" s="12" t="str">
        <f>'Alexandro Carrasco'!K175</f>
        <v>Alexandro Carrasco</v>
      </c>
    </row>
    <row r="260" ht="22.5" customHeight="1">
      <c r="A260" s="107" t="str">
        <f>'Alexandro Carrasco'!A176</f>
        <v/>
      </c>
      <c r="B260" s="12" t="str">
        <f>'Alexandro Carrasco'!B176</f>
        <v>Alberto García Valladares</v>
      </c>
      <c r="C260" s="12" t="str">
        <f>'Alexandro Carrasco'!C176</f>
        <v>SFV Residencial</v>
      </c>
      <c r="D260" s="110" t="str">
        <f>'Alexandro Carrasco'!D176</f>
        <v>CDMX</v>
      </c>
      <c r="E260" s="12" t="str">
        <f>'Alexandro Carrasco'!E176</f>
        <v>SFV</v>
      </c>
      <c r="F260" s="108" t="str">
        <f>'Alexandro Carrasco'!F176</f>
        <v>8. Propuesta Enviada</v>
      </c>
      <c r="G260" s="48">
        <f>'Alexandro Carrasco'!G176</f>
        <v>42449</v>
      </c>
      <c r="H260" s="49" t="str">
        <f>'Alexandro Carrasco'!H176</f>
        <v/>
      </c>
      <c r="I260" s="21" t="str">
        <f>'Alexandro Carrasco'!I176</f>
        <v/>
      </c>
      <c r="J260" s="108" t="str">
        <f>'Alexandro Carrasco'!J176</f>
        <v>Cliente Recurrente (Recompra/Ampliación)</v>
      </c>
      <c r="K260" s="12" t="str">
        <f>'Alexandro Carrasco'!K176</f>
        <v>Alexandro Carrasco</v>
      </c>
    </row>
    <row r="261" ht="22.5" customHeight="1">
      <c r="A261" s="107" t="str">
        <f>'Daniela Lara'!A2</f>
        <v>PSP1</v>
      </c>
      <c r="B261" s="12" t="str">
        <f>'Daniela Lara'!B2</f>
        <v>Marco de la Cruz</v>
      </c>
      <c r="C261" s="12" t="str">
        <f>'Daniela Lara'!C2</f>
        <v>Continental Colinas</v>
      </c>
      <c r="D261" s="110" t="str">
        <f>'Daniela Lara'!D2</f>
        <v>Silao</v>
      </c>
      <c r="E261" s="12" t="str">
        <f>'Daniela Lara'!E2</f>
        <v>SFV</v>
      </c>
      <c r="F261" s="108" t="str">
        <f>'Daniela Lara'!F2</f>
        <v>15. En Pausa / Seguimiento Posterior</v>
      </c>
      <c r="G261" s="48">
        <f>'Daniela Lara'!G2</f>
        <v>46076</v>
      </c>
      <c r="H261" s="49">
        <f>'Daniela Lara'!H2</f>
        <v>0</v>
      </c>
      <c r="I261" s="21">
        <f>'Daniela Lara'!I2</f>
        <v>0.05</v>
      </c>
      <c r="J261" s="108" t="str">
        <f>'Daniela Lara'!J2</f>
        <v>Otros</v>
      </c>
      <c r="K261" s="12" t="str">
        <f>'Daniela Lara'!K2</f>
        <v>Daniela Lara</v>
      </c>
    </row>
    <row r="262" ht="22.5" customHeight="1">
      <c r="A262" s="107" t="str">
        <f>'Daniela Lara'!A3</f>
        <v>PSP2</v>
      </c>
      <c r="B262" s="12" t="str">
        <f>'Daniela Lara'!B3</f>
        <v>Eder Vivanco</v>
      </c>
      <c r="C262" s="12" t="str">
        <f>'Daniela Lara'!C3</f>
        <v>JLG</v>
      </c>
      <c r="D262" s="110" t="str">
        <f>'Daniela Lara'!D3</f>
        <v>Leon</v>
      </c>
      <c r="E262" s="12" t="str">
        <f>'Daniela Lara'!E3</f>
        <v>SFV</v>
      </c>
      <c r="F262" s="108" t="str">
        <f>'Daniela Lara'!F3</f>
        <v>2. Contacto Inicial</v>
      </c>
      <c r="G262" s="48">
        <f>'Daniela Lara'!G3</f>
        <v>46076</v>
      </c>
      <c r="H262" s="49">
        <f>'Daniela Lara'!H3</f>
        <v>0</v>
      </c>
      <c r="I262" s="21">
        <f>'Daniela Lara'!I3</f>
        <v>0.1</v>
      </c>
      <c r="J262" s="108" t="str">
        <f>'Daniela Lara'!J3</f>
        <v>Otros</v>
      </c>
      <c r="K262" s="12" t="str">
        <f>'Daniela Lara'!K3</f>
        <v>Daniela Lara</v>
      </c>
    </row>
    <row r="263" ht="22.5" customHeight="1">
      <c r="A263" s="107" t="str">
        <f>'Daniela Lara'!A4</f>
        <v>PSP3</v>
      </c>
      <c r="B263" s="12" t="str">
        <f>'Daniela Lara'!B4</f>
        <v>Alfonso Compean</v>
      </c>
      <c r="C263" s="12" t="str">
        <f>'Daniela Lara'!C4</f>
        <v>SiBandas</v>
      </c>
      <c r="D263" s="110" t="str">
        <f>'Daniela Lara'!D4</f>
        <v>Leon</v>
      </c>
      <c r="E263" s="12" t="str">
        <f>'Daniela Lara'!E4</f>
        <v>SFV</v>
      </c>
      <c r="F263" s="108" t="str">
        <f>'Daniela Lara'!F4</f>
        <v>2. Contacto Inicial</v>
      </c>
      <c r="G263" s="48">
        <f>'Daniela Lara'!G4</f>
        <v>46076</v>
      </c>
      <c r="H263" s="49">
        <f>'Daniela Lara'!H4</f>
        <v>0</v>
      </c>
      <c r="I263" s="21">
        <f>'Daniela Lara'!I4</f>
        <v>0.1</v>
      </c>
      <c r="J263" s="108" t="str">
        <f>'Daniela Lara'!J4</f>
        <v>Otros</v>
      </c>
      <c r="K263" s="12" t="str">
        <f>'Daniela Lara'!K4</f>
        <v>Daniela Lara</v>
      </c>
    </row>
    <row r="264" ht="22.5" customHeight="1">
      <c r="A264" s="107" t="str">
        <f>'Daniela Lara'!A5</f>
        <v>PSP4</v>
      </c>
      <c r="B264" s="12" t="str">
        <f>'Daniela Lara'!B5</f>
        <v>Pedro Flores</v>
      </c>
      <c r="C264" s="12" t="str">
        <f>'Daniela Lara'!C5</f>
        <v>Standard Profil</v>
      </c>
      <c r="D264" s="110" t="str">
        <f>'Daniela Lara'!D5</f>
        <v>Celaya</v>
      </c>
      <c r="E264" s="12" t="str">
        <f>'Daniela Lara'!E5</f>
        <v>SFV</v>
      </c>
      <c r="F264" s="108" t="str">
        <f>'Daniela Lara'!F5</f>
        <v>3. Calificación</v>
      </c>
      <c r="G264" s="48">
        <f>'Daniela Lara'!G5</f>
        <v>46076</v>
      </c>
      <c r="H264" s="49">
        <f>'Daniela Lara'!H5</f>
        <v>0</v>
      </c>
      <c r="I264" s="21">
        <f>'Daniela Lara'!I5</f>
        <v>0.1</v>
      </c>
      <c r="J264" s="108" t="str">
        <f>'Daniela Lara'!J5</f>
        <v>Otros</v>
      </c>
      <c r="K264" s="12" t="str">
        <f>'Daniela Lara'!K5</f>
        <v>Daniela Lara</v>
      </c>
    </row>
    <row r="265" ht="22.5" customHeight="1">
      <c r="A265" s="107" t="str">
        <f>'Daniela Lara'!A6</f>
        <v>PSP5</v>
      </c>
      <c r="B265" s="12" t="str">
        <f>'Daniela Lara'!B6</f>
        <v>Joel Rodríguez</v>
      </c>
      <c r="C265" s="12" t="str">
        <f>'Daniela Lara'!C6</f>
        <v>ZF Group</v>
      </c>
      <c r="D265" s="110" t="str">
        <f>'Daniela Lara'!D6</f>
        <v>Querétaro</v>
      </c>
      <c r="E265" s="12" t="str">
        <f>'Daniela Lara'!E6</f>
        <v>SFV</v>
      </c>
      <c r="F265" s="108" t="str">
        <f>'Daniela Lara'!F6</f>
        <v>15. En Pausa / Seguimiento Posterior</v>
      </c>
      <c r="G265" s="48">
        <f>'Daniela Lara'!G6</f>
        <v>46077</v>
      </c>
      <c r="H265" s="49">
        <f>'Daniela Lara'!H6</f>
        <v>0</v>
      </c>
      <c r="I265" s="21">
        <f>'Daniela Lara'!I6</f>
        <v>0.05</v>
      </c>
      <c r="J265" s="108" t="str">
        <f>'Daniela Lara'!J6</f>
        <v>Otros</v>
      </c>
      <c r="K265" s="12" t="str">
        <f>'Daniela Lara'!K6</f>
        <v>Daniela Lara</v>
      </c>
    </row>
    <row r="266" ht="22.5" customHeight="1">
      <c r="A266" s="107" t="str">
        <f>'Daniela Lara'!A7</f>
        <v>PSP6</v>
      </c>
      <c r="B266" s="12" t="str">
        <f>'Daniela Lara'!B7</f>
        <v>Manuel Limón</v>
      </c>
      <c r="C266" s="12" t="str">
        <f>'Daniela Lara'!C7</f>
        <v>Radiall</v>
      </c>
      <c r="D266" s="110" t="str">
        <f>'Daniela Lara'!D7</f>
        <v>Sonora</v>
      </c>
      <c r="E266" s="12" t="str">
        <f>'Daniela Lara'!E7</f>
        <v>SFV</v>
      </c>
      <c r="F266" s="108" t="str">
        <f>'Daniela Lara'!F7</f>
        <v>3. Calificación</v>
      </c>
      <c r="G266" s="48">
        <f>'Daniela Lara'!G7</f>
        <v>46077</v>
      </c>
      <c r="H266" s="49">
        <f>'Daniela Lara'!H7</f>
        <v>0</v>
      </c>
      <c r="I266" s="21">
        <f>'Daniela Lara'!I7</f>
        <v>0.1</v>
      </c>
      <c r="J266" s="108" t="str">
        <f>'Daniela Lara'!J7</f>
        <v>Otros</v>
      </c>
      <c r="K266" s="12" t="str">
        <f>'Daniela Lara'!K7</f>
        <v>Daniela Lara</v>
      </c>
    </row>
    <row r="267" ht="22.5" customHeight="1">
      <c r="A267" s="107" t="str">
        <f>'Daniela Lara'!A8</f>
        <v>PSP7</v>
      </c>
      <c r="B267" s="12" t="str">
        <f>'Daniela Lara'!B8</f>
        <v>Iván Bello</v>
      </c>
      <c r="C267" s="12" t="str">
        <f>'Daniela Lara'!C8</f>
        <v>Kautex</v>
      </c>
      <c r="D267" s="110" t="str">
        <f>'Daniela Lara'!D8</f>
        <v>Silao</v>
      </c>
      <c r="E267" s="12" t="str">
        <f>'Daniela Lara'!E8</f>
        <v>SFV</v>
      </c>
      <c r="F267" s="108" t="str">
        <f>'Daniela Lara'!F8</f>
        <v>9. Aclaraciones / Ajustes de Propuesta</v>
      </c>
      <c r="G267" s="48">
        <f>'Daniela Lara'!G8</f>
        <v>46078</v>
      </c>
      <c r="H267" s="49">
        <f>'Daniela Lara'!H8</f>
        <v>405988.4</v>
      </c>
      <c r="I267" s="21">
        <f>'Daniela Lara'!I8</f>
        <v>0.33</v>
      </c>
      <c r="J267" s="108" t="str">
        <f>'Daniela Lara'!J8</f>
        <v>Otros</v>
      </c>
      <c r="K267" s="12" t="str">
        <f>'Daniela Lara'!K8</f>
        <v>Daniela Lara</v>
      </c>
    </row>
    <row r="268" ht="22.5" customHeight="1">
      <c r="A268" s="107" t="str">
        <f>'Daniela Lara'!A9</f>
        <v>PSP8</v>
      </c>
      <c r="B268" s="12" t="str">
        <f>'Daniela Lara'!B9</f>
        <v>Manuel Márquez</v>
      </c>
      <c r="C268" s="12" t="str">
        <f>'Daniela Lara'!C9</f>
        <v>Eucomex</v>
      </c>
      <c r="D268" s="110" t="str">
        <f>'Daniela Lara'!D9</f>
        <v>Estado de México</v>
      </c>
      <c r="E268" s="12" t="str">
        <f>'Daniela Lara'!E9</f>
        <v>SFV</v>
      </c>
      <c r="F268" s="108" t="str">
        <f>'Daniela Lara'!F9</f>
        <v>15. En Pausa / Seguimiento Posterior</v>
      </c>
      <c r="G268" s="48">
        <f>'Daniela Lara'!G9</f>
        <v>46078</v>
      </c>
      <c r="H268" s="49">
        <f>'Daniela Lara'!H9</f>
        <v>0</v>
      </c>
      <c r="I268" s="21">
        <f>'Daniela Lara'!I9</f>
        <v>0.05</v>
      </c>
      <c r="J268" s="108" t="str">
        <f>'Daniela Lara'!J9</f>
        <v>Otros</v>
      </c>
      <c r="K268" s="12" t="str">
        <f>'Daniela Lara'!K9</f>
        <v>Daniela Lara</v>
      </c>
    </row>
    <row r="269" ht="22.5" customHeight="1">
      <c r="A269" s="107" t="str">
        <f>'Daniela Lara'!A10</f>
        <v>PSP9</v>
      </c>
      <c r="B269" s="12" t="str">
        <f>'Daniela Lara'!B10</f>
        <v>Carlos Ramírez</v>
      </c>
      <c r="C269" s="12" t="str">
        <f>'Daniela Lara'!C10</f>
        <v>Grupo Altex</v>
      </c>
      <c r="D269" s="110" t="str">
        <f>'Daniela Lara'!D10</f>
        <v>Leon</v>
      </c>
      <c r="E269" s="12" t="str">
        <f>'Daniela Lara'!E10</f>
        <v>SFV</v>
      </c>
      <c r="F269" s="108" t="str">
        <f>'Daniela Lara'!F10</f>
        <v>2. Contacto Inicial</v>
      </c>
      <c r="G269" s="48">
        <f>'Daniela Lara'!G10</f>
        <v>46078</v>
      </c>
      <c r="H269" s="49">
        <f>'Daniela Lara'!H10</f>
        <v>0</v>
      </c>
      <c r="I269" s="21">
        <f>'Daniela Lara'!I10</f>
        <v>0.1</v>
      </c>
      <c r="J269" s="108" t="str">
        <f>'Daniela Lara'!J10</f>
        <v>LinkedIn (Orgánico)</v>
      </c>
      <c r="K269" s="12" t="str">
        <f>'Daniela Lara'!K10</f>
        <v>Daniela Lara</v>
      </c>
    </row>
    <row r="270" ht="22.5" customHeight="1">
      <c r="A270" s="107" t="str">
        <f>'Daniela Lara'!A11</f>
        <v>PSP10</v>
      </c>
      <c r="B270" s="12" t="str">
        <f>'Daniela Lara'!B11</f>
        <v>Fernando Rodríguez</v>
      </c>
      <c r="C270" s="12" t="str">
        <f>'Daniela Lara'!C11</f>
        <v>Hospital Siena</v>
      </c>
      <c r="D270" s="110" t="str">
        <f>'Daniela Lara'!D11</f>
        <v>Leon</v>
      </c>
      <c r="E270" s="12" t="str">
        <f>'Daniela Lara'!E11</f>
        <v>Bomba Calor</v>
      </c>
      <c r="F270" s="108" t="str">
        <f>'Daniela Lara'!F11</f>
        <v>2. Contacto Inicial</v>
      </c>
      <c r="G270" s="48">
        <f>'Daniela Lara'!G11</f>
        <v>46083</v>
      </c>
      <c r="H270" s="49">
        <f>'Daniela Lara'!H11</f>
        <v>0</v>
      </c>
      <c r="I270" s="21">
        <f>'Daniela Lara'!I11</f>
        <v>0.5</v>
      </c>
      <c r="J270" s="108" t="str">
        <f>'Daniela Lara'!J11</f>
        <v>Otros</v>
      </c>
      <c r="K270" s="12" t="str">
        <f>'Daniela Lara'!K11</f>
        <v>Daniela Lara</v>
      </c>
    </row>
    <row r="271" ht="22.5" customHeight="1">
      <c r="A271" s="107" t="str">
        <f>'Daniela Lara'!A12</f>
        <v>PSP11</v>
      </c>
      <c r="B271" s="12" t="str">
        <f>'Daniela Lara'!B12</f>
        <v>Marco Tinoco</v>
      </c>
      <c r="C271" s="12" t="str">
        <f>'Daniela Lara'!C12</f>
        <v>Resort Twin Dolphin</v>
      </c>
      <c r="D271" s="110" t="str">
        <f>'Daniela Lara'!D12</f>
        <v>Los Cabos</v>
      </c>
      <c r="E271" s="12" t="str">
        <f>'Daniela Lara'!E12</f>
        <v>Bomba Calor</v>
      </c>
      <c r="F271" s="108" t="str">
        <f>'Daniela Lara'!F12</f>
        <v>3. Calificación</v>
      </c>
      <c r="G271" s="48">
        <f>'Daniela Lara'!G12</f>
        <v>46083</v>
      </c>
      <c r="H271" s="49">
        <f>'Daniela Lara'!H12</f>
        <v>0</v>
      </c>
      <c r="I271" s="21">
        <f>'Daniela Lara'!I12</f>
        <v>0.5</v>
      </c>
      <c r="J271" s="108" t="str">
        <f>'Daniela Lara'!J12</f>
        <v>Otros</v>
      </c>
      <c r="K271" s="12" t="str">
        <f>'Daniela Lara'!K12</f>
        <v>Daniela Lara</v>
      </c>
    </row>
    <row r="272" ht="22.5" customHeight="1">
      <c r="A272" s="107" t="str">
        <f>'Daniela Lara'!A13</f>
        <v>PSP12</v>
      </c>
      <c r="B272" s="12" t="str">
        <f>'Daniela Lara'!B13</f>
        <v>Marco Tafoya</v>
      </c>
      <c r="C272" s="12" t="str">
        <f>'Daniela Lara'!C13</f>
        <v>Residencial</v>
      </c>
      <c r="D272" s="110" t="str">
        <f>'Daniela Lara'!D13</f>
        <v>Leon</v>
      </c>
      <c r="E272" s="12" t="str">
        <f>'Daniela Lara'!E13</f>
        <v>SFV</v>
      </c>
      <c r="F272" s="108" t="str">
        <f>'Daniela Lara'!F13</f>
        <v>3. Calificación</v>
      </c>
      <c r="G272" s="48">
        <f>'Daniela Lara'!G13</f>
        <v>46085</v>
      </c>
      <c r="H272" s="49">
        <f>'Daniela Lara'!H13</f>
        <v>0</v>
      </c>
      <c r="I272" s="21">
        <f>'Daniela Lara'!I13</f>
        <v>0.7</v>
      </c>
      <c r="J272" s="108" t="str">
        <f>'Daniela Lara'!J13</f>
        <v>Chat Web / WhatsApp</v>
      </c>
      <c r="K272" s="12" t="str">
        <f>'Daniela Lara'!K13</f>
        <v>Daniela Lara</v>
      </c>
    </row>
    <row r="273" ht="22.5" customHeight="1">
      <c r="A273" s="107" t="str">
        <f>'Saira Gómez'!A2</f>
        <v>PSP1</v>
      </c>
      <c r="B273" s="12" t="str">
        <f>'Saira Gómez'!B2</f>
        <v>Iriani Ortega </v>
      </c>
      <c r="C273" s="12" t="str">
        <f>'Saira Gómez'!C2</f>
        <v>DIAGEO LA BARCA </v>
      </c>
      <c r="D273" s="12" t="str">
        <f>'Saira Gómez'!D2</f>
        <v/>
      </c>
      <c r="E273" s="12" t="str">
        <f>'Saira Gómez'!E2</f>
        <v>SFV</v>
      </c>
      <c r="F273" s="108" t="str">
        <f>'Saira Gómez'!F2</f>
        <v>3. Calificación</v>
      </c>
      <c r="G273" s="48">
        <f>'Saira Gómez'!G2</f>
        <v>46083</v>
      </c>
      <c r="H273" s="49" t="str">
        <f>'Saira Gómez'!H2</f>
        <v/>
      </c>
      <c r="I273" s="21" t="str">
        <f>'Saira Gómez'!I2</f>
        <v/>
      </c>
      <c r="J273" s="108" t="str">
        <f>'Saira Gómez'!J2</f>
        <v>Email Outbound (Prospección)</v>
      </c>
      <c r="K273" s="12" t="str">
        <f>'Saira Gómez'!K2</f>
        <v>Saira Gómez</v>
      </c>
    </row>
    <row r="274" ht="22.5" customHeight="1">
      <c r="A274" s="107" t="str">
        <f>'Saira Gómez'!A3</f>
        <v>PSP2</v>
      </c>
      <c r="B274" s="12" t="str">
        <f>'Saira Gómez'!B3</f>
        <v>Abraham Hernández</v>
      </c>
      <c r="C274" s="12" t="str">
        <f>'Saira Gómez'!C3</f>
        <v>ARCHROMA INTERNATIONAL </v>
      </c>
      <c r="D274" s="12" t="str">
        <f>'Saira Gómez'!D3</f>
        <v/>
      </c>
      <c r="E274" s="12" t="str">
        <f>'Saira Gómez'!E3</f>
        <v>SFV</v>
      </c>
      <c r="F274" s="108" t="str">
        <f>'Saira Gómez'!F3</f>
        <v>7. Estimación / Cotización</v>
      </c>
      <c r="G274" s="48">
        <f>'Saira Gómez'!G3</f>
        <v>46079</v>
      </c>
      <c r="H274" s="49" t="str">
        <f>'Saira Gómez'!H3</f>
        <v/>
      </c>
      <c r="I274" s="21" t="str">
        <f>'Saira Gómez'!I3</f>
        <v/>
      </c>
      <c r="J274" s="108" t="str">
        <f>'Saira Gómez'!J3</f>
        <v>Email Outbound (Prospección)</v>
      </c>
      <c r="K274" s="12" t="str">
        <f>'Saira Gómez'!K3</f>
        <v>Saira Gómez</v>
      </c>
    </row>
    <row r="275" ht="22.5" customHeight="1">
      <c r="A275" s="107" t="str">
        <f>'Saira Gómez'!A4</f>
        <v>PSP3</v>
      </c>
      <c r="B275" s="12" t="str">
        <f>'Saira Gómez'!B4</f>
        <v>Andrea Valencia </v>
      </c>
      <c r="C275" s="12" t="str">
        <f>'Saira Gómez'!C4</f>
        <v>Almidones Mexicanos </v>
      </c>
      <c r="D275" s="12" t="str">
        <f>'Saira Gómez'!D4</f>
        <v/>
      </c>
      <c r="E275" s="12" t="str">
        <f>'Saira Gómez'!E4</f>
        <v>SFV </v>
      </c>
      <c r="F275" s="108" t="str">
        <f>'Saira Gómez'!F4</f>
        <v>2. Contacto Inicial</v>
      </c>
      <c r="G275" s="48">
        <f>'Saira Gómez'!G4</f>
        <v>46085</v>
      </c>
      <c r="H275" s="49" t="str">
        <f>'Saira Gómez'!H4</f>
        <v/>
      </c>
      <c r="I275" s="21" t="str">
        <f>'Saira Gómez'!I4</f>
        <v/>
      </c>
      <c r="J275" s="108" t="str">
        <f>'Saira Gómez'!J4</f>
        <v>Email Outbound (Prospección)</v>
      </c>
      <c r="K275" s="12" t="str">
        <f>'Saira Gómez'!K4</f>
        <v>Saira Gómez</v>
      </c>
    </row>
    <row r="276" ht="22.5" customHeight="1">
      <c r="A276" s="107" t="str">
        <f>'Saira Gómez'!A5</f>
        <v>PSP4</v>
      </c>
      <c r="B276" s="12" t="str">
        <f>'Saira Gómez'!B5</f>
        <v>Luis Herrera </v>
      </c>
      <c r="C276" s="12" t="str">
        <f>'Saira Gómez'!C5</f>
        <v>Peiyuan Automobile Parts </v>
      </c>
      <c r="D276" s="12" t="str">
        <f>'Saira Gómez'!D5</f>
        <v/>
      </c>
      <c r="E276" s="12" t="str">
        <f>'Saira Gómez'!E5</f>
        <v>SFV</v>
      </c>
      <c r="F276" s="108" t="str">
        <f>'Saira Gómez'!F5</f>
        <v>7. Estimación / Cotización</v>
      </c>
      <c r="G276" s="48">
        <f>'Saira Gómez'!G5</f>
        <v>46085</v>
      </c>
      <c r="H276" s="49" t="str">
        <f>'Saira Gómez'!H5</f>
        <v/>
      </c>
      <c r="I276" s="21" t="str">
        <f>'Saira Gómez'!I5</f>
        <v/>
      </c>
      <c r="J276" s="108" t="str">
        <f>'Saira Gómez'!J5</f>
        <v>Chat Web / WhatsApp</v>
      </c>
      <c r="K276" s="12" t="str">
        <f>'Saira Gómez'!K5</f>
        <v>Saira Gómez</v>
      </c>
    </row>
    <row r="277" ht="22.5" customHeight="1">
      <c r="A277" s="107" t="str">
        <f>'Saira Gómez'!A6</f>
        <v>PSP5</v>
      </c>
      <c r="B277" s="12" t="str">
        <f>'Saira Gómez'!B6</f>
        <v>Ernesto Flores </v>
      </c>
      <c r="C277" s="12" t="str">
        <f>'Saira Gómez'!C6</f>
        <v>O´Reilly</v>
      </c>
      <c r="D277" s="12" t="str">
        <f>'Saira Gómez'!D6</f>
        <v/>
      </c>
      <c r="E277" s="12" t="str">
        <f>'Saira Gómez'!E6</f>
        <v>SFV</v>
      </c>
      <c r="F277" s="108" t="str">
        <f>'Saira Gómez'!F6</f>
        <v>15. En Pausa / Seguimiento Posterior</v>
      </c>
      <c r="G277" s="48">
        <f>'Saira Gómez'!G6</f>
        <v>46108</v>
      </c>
      <c r="H277" s="49" t="str">
        <f>'Saira Gómez'!H6</f>
        <v/>
      </c>
      <c r="I277" s="21" t="str">
        <f>'Saira Gómez'!I6</f>
        <v/>
      </c>
      <c r="J277" s="108" t="str">
        <f>'Saira Gómez'!J6</f>
        <v>Chat Web / WhatsApp</v>
      </c>
      <c r="K277" s="12" t="str">
        <f>'Saira Gómez'!K6</f>
        <v>Saira Gómez</v>
      </c>
    </row>
    <row r="278" ht="22.5" customHeight="1">
      <c r="A278" s="107" t="str">
        <f>'Saira Gómez'!A7</f>
        <v>PSP6</v>
      </c>
      <c r="B278" s="12" t="str">
        <f>'Saira Gómez'!B7</f>
        <v>José Luis Irigoyen </v>
      </c>
      <c r="C278" s="12" t="str">
        <f>'Saira Gómez'!C7</f>
        <v>Cytec</v>
      </c>
      <c r="D278" s="12" t="str">
        <f>'Saira Gómez'!D7</f>
        <v/>
      </c>
      <c r="E278" s="12" t="str">
        <f>'Saira Gómez'!E7</f>
        <v>SFV</v>
      </c>
      <c r="F278" s="108" t="str">
        <f>'Saira Gómez'!F7</f>
        <v>2. Contacto Inicial</v>
      </c>
      <c r="G278" s="48">
        <f>'Saira Gómez'!G7</f>
        <v>46085</v>
      </c>
      <c r="H278" s="49" t="str">
        <f>'Saira Gómez'!H7</f>
        <v/>
      </c>
      <c r="I278" s="21" t="str">
        <f>'Saira Gómez'!I7</f>
        <v/>
      </c>
      <c r="J278" s="108" t="str">
        <f>'Saira Gómez'!J7</f>
        <v>Email Outbound (Prospección)</v>
      </c>
      <c r="K278" s="12" t="str">
        <f>'Saira Gómez'!K7</f>
        <v>Saira Gómez</v>
      </c>
    </row>
    <row r="279" ht="22.5" customHeight="1">
      <c r="A279" s="107" t="str">
        <f>'Saira Gómez'!A8</f>
        <v>PSP7</v>
      </c>
      <c r="B279" s="12" t="str">
        <f>'Saira Gómez'!B8</f>
        <v>Karina Gonzalez </v>
      </c>
      <c r="C279" s="12" t="str">
        <f>'Saira Gómez'!C8</f>
        <v>Farmacias GDL </v>
      </c>
      <c r="D279" s="12" t="str">
        <f>'Saira Gómez'!D8</f>
        <v/>
      </c>
      <c r="E279" s="12" t="str">
        <f>'Saira Gómez'!E8</f>
        <v>SFV</v>
      </c>
      <c r="F279" s="108" t="str">
        <f>'Saira Gómez'!F8</f>
        <v>2. Contacto Inicial</v>
      </c>
      <c r="G279" s="48">
        <f>'Saira Gómez'!G8</f>
        <v>46090</v>
      </c>
      <c r="H279" s="49" t="str">
        <f>'Saira Gómez'!H8</f>
        <v/>
      </c>
      <c r="I279" s="21" t="str">
        <f>'Saira Gómez'!I8</f>
        <v/>
      </c>
      <c r="J279" s="108" t="str">
        <f>'Saira Gómez'!J8</f>
        <v>Llamada en Frío (Prospección)</v>
      </c>
      <c r="K279" s="12" t="str">
        <f>'Saira Gómez'!K8</f>
        <v>Saira Gómez</v>
      </c>
    </row>
    <row r="280" ht="22.5" customHeight="1">
      <c r="A280" s="107" t="str">
        <f>'Saira Gómez'!A9</f>
        <v>PSP8</v>
      </c>
      <c r="B280" s="12" t="str">
        <f>'Saira Gómez'!B9</f>
        <v>Brenda Gasca </v>
      </c>
      <c r="C280" s="12" t="str">
        <f>'Saira Gómez'!C9</f>
        <v>DIAGEO CHARCON </v>
      </c>
      <c r="D280" s="12" t="str">
        <f>'Saira Gómez'!D9</f>
        <v/>
      </c>
      <c r="E280" s="12" t="str">
        <f>'Saira Gómez'!E9</f>
        <v>SFV/BOMBAS</v>
      </c>
      <c r="F280" s="108" t="str">
        <f>'Saira Gómez'!F9</f>
        <v>2. Contacto Inicial</v>
      </c>
      <c r="G280" s="48">
        <f>'Saira Gómez'!G9</f>
        <v>46085</v>
      </c>
      <c r="H280" s="49" t="str">
        <f>'Saira Gómez'!H9</f>
        <v/>
      </c>
      <c r="I280" s="21" t="str">
        <f>'Saira Gómez'!I9</f>
        <v/>
      </c>
      <c r="J280" s="108" t="str">
        <f>'Saira Gómez'!J9</f>
        <v>Otros</v>
      </c>
      <c r="K280" s="12" t="str">
        <f>'Saira Gómez'!K9</f>
        <v>Saira Gómez</v>
      </c>
    </row>
    <row r="281" ht="22.5" customHeight="1">
      <c r="A281" s="107" t="str">
        <f>'Saira Gómez'!A10</f>
        <v>PSP9</v>
      </c>
      <c r="B281" s="12" t="str">
        <f>'Saira Gómez'!B10</f>
        <v>Jesus Mosqueda </v>
      </c>
      <c r="C281" s="12" t="str">
        <f>'Saira Gómez'!C10</f>
        <v>Standar Profil Grouo México</v>
      </c>
      <c r="D281" s="12" t="str">
        <f>'Saira Gómez'!D10</f>
        <v/>
      </c>
      <c r="E281" s="12" t="str">
        <f>'Saira Gómez'!E10</f>
        <v>SFV</v>
      </c>
      <c r="F281" s="108" t="str">
        <f>'Saira Gómez'!F10</f>
        <v>4. Levantamiento de Requerimientos</v>
      </c>
      <c r="G281" s="48">
        <f>'Saira Gómez'!G10</f>
        <v>46085</v>
      </c>
      <c r="H281" s="49" t="str">
        <f>'Saira Gómez'!H10</f>
        <v/>
      </c>
      <c r="I281" s="21" t="str">
        <f>'Saira Gómez'!I10</f>
        <v/>
      </c>
      <c r="J281" s="108" t="str">
        <f>'Saira Gómez'!J10</f>
        <v>Otros</v>
      </c>
      <c r="K281" s="12" t="str">
        <f>'Saira Gómez'!K10</f>
        <v>Saira Gómez</v>
      </c>
    </row>
    <row r="282" ht="22.5" customHeight="1">
      <c r="A282" s="107" t="str">
        <f>'Alexandro Carrasco'!A199</f>
        <v/>
      </c>
      <c r="B282" s="12" t="str">
        <f>'Alexandro Carrasco'!B199</f>
        <v/>
      </c>
      <c r="C282" s="12" t="str">
        <f>'Alexandro Carrasco'!C199</f>
        <v/>
      </c>
      <c r="D282" s="12" t="str">
        <f>'Alexandro Carrasco'!D199</f>
        <v/>
      </c>
      <c r="E282" s="12" t="str">
        <f>'Alexandro Carrasco'!E199</f>
        <v/>
      </c>
      <c r="F282" s="108" t="str">
        <f>'Alexandro Carrasco'!F199</f>
        <v/>
      </c>
      <c r="G282" s="48" t="str">
        <f>'Alexandro Carrasco'!G199</f>
        <v/>
      </c>
      <c r="H282" s="49" t="str">
        <f>'Alexandro Carrasco'!H199</f>
        <v/>
      </c>
      <c r="I282" s="21" t="str">
        <f>'Alexandro Carrasco'!I199</f>
        <v/>
      </c>
      <c r="J282" s="108" t="str">
        <f>'Alexandro Carrasco'!J199</f>
        <v/>
      </c>
      <c r="K282" s="12" t="str">
        <f>'Alexandro Carrasco'!K199</f>
        <v/>
      </c>
    </row>
    <row r="283" ht="22.5" customHeight="1">
      <c r="A283" s="107" t="str">
        <f>'Alexandro Carrasco'!A200</f>
        <v/>
      </c>
      <c r="B283" s="12" t="str">
        <f>'Alexandro Carrasco'!B200</f>
        <v/>
      </c>
      <c r="C283" s="12" t="str">
        <f>'Alexandro Carrasco'!C200</f>
        <v/>
      </c>
      <c r="D283" s="12" t="str">
        <f>'Alexandro Carrasco'!D200</f>
        <v/>
      </c>
      <c r="E283" s="12" t="str">
        <f>'Alexandro Carrasco'!E200</f>
        <v/>
      </c>
      <c r="F283" s="108" t="str">
        <f>'Alexandro Carrasco'!F200</f>
        <v/>
      </c>
      <c r="G283" s="48" t="str">
        <f>'Alexandro Carrasco'!G200</f>
        <v/>
      </c>
      <c r="H283" s="49" t="str">
        <f>'Alexandro Carrasco'!H200</f>
        <v/>
      </c>
      <c r="I283" s="21" t="str">
        <f>'Alexandro Carrasco'!I200</f>
        <v/>
      </c>
      <c r="J283" s="108" t="str">
        <f>'Alexandro Carrasco'!J200</f>
        <v/>
      </c>
      <c r="K283" s="12" t="str">
        <f>'Alexandro Carrasco'!K200</f>
        <v/>
      </c>
    </row>
    <row r="284" ht="22.5" customHeight="1">
      <c r="A284" s="107" t="str">
        <f>'Alexandro Carrasco'!A201</f>
        <v/>
      </c>
      <c r="B284" s="12" t="str">
        <f>'Alexandro Carrasco'!B201</f>
        <v/>
      </c>
      <c r="C284" s="12" t="str">
        <f>'Alexandro Carrasco'!C201</f>
        <v/>
      </c>
      <c r="D284" s="12" t="str">
        <f>'Alexandro Carrasco'!D201</f>
        <v/>
      </c>
      <c r="E284" s="12" t="str">
        <f>'Alexandro Carrasco'!E201</f>
        <v/>
      </c>
      <c r="F284" s="108" t="str">
        <f>'Alexandro Carrasco'!F201</f>
        <v/>
      </c>
      <c r="G284" s="48" t="str">
        <f>'Alexandro Carrasco'!G201</f>
        <v/>
      </c>
      <c r="H284" s="49" t="str">
        <f>'Alexandro Carrasco'!H201</f>
        <v/>
      </c>
      <c r="I284" s="21" t="str">
        <f>'Alexandro Carrasco'!I201</f>
        <v/>
      </c>
      <c r="J284" s="108" t="str">
        <f>'Alexandro Carrasco'!J201</f>
        <v/>
      </c>
      <c r="K284" s="12" t="str">
        <f>'Alexandro Carrasco'!K201</f>
        <v/>
      </c>
    </row>
    <row r="285" ht="22.5" customHeight="1">
      <c r="A285" s="107" t="str">
        <f>'Alexandro Carrasco'!A202</f>
        <v/>
      </c>
      <c r="B285" s="12" t="str">
        <f>'Alexandro Carrasco'!B202</f>
        <v/>
      </c>
      <c r="C285" s="12" t="str">
        <f>'Alexandro Carrasco'!C202</f>
        <v/>
      </c>
      <c r="D285" s="12" t="str">
        <f>'Alexandro Carrasco'!D202</f>
        <v/>
      </c>
      <c r="E285" s="12" t="str">
        <f>'Alexandro Carrasco'!E202</f>
        <v/>
      </c>
      <c r="F285" s="108" t="str">
        <f>'Alexandro Carrasco'!F202</f>
        <v/>
      </c>
      <c r="G285" s="48" t="str">
        <f>'Alexandro Carrasco'!G202</f>
        <v/>
      </c>
      <c r="H285" s="49" t="str">
        <f>'Alexandro Carrasco'!H202</f>
        <v/>
      </c>
      <c r="I285" s="21" t="str">
        <f>'Alexandro Carrasco'!I202</f>
        <v/>
      </c>
      <c r="J285" s="108" t="str">
        <f>'Alexandro Carrasco'!J202</f>
        <v/>
      </c>
      <c r="K285" s="12" t="str">
        <f>'Alexandro Carrasco'!K202</f>
        <v/>
      </c>
    </row>
    <row r="286" ht="22.5" customHeight="1">
      <c r="A286" s="107" t="str">
        <f>'Alexandro Carrasco'!A203</f>
        <v/>
      </c>
      <c r="B286" s="12" t="str">
        <f>'Alexandro Carrasco'!B203</f>
        <v/>
      </c>
      <c r="C286" s="12" t="str">
        <f>'Alexandro Carrasco'!C203</f>
        <v/>
      </c>
      <c r="D286" s="12" t="str">
        <f>'Alexandro Carrasco'!D203</f>
        <v/>
      </c>
      <c r="E286" s="12" t="str">
        <f>'Alexandro Carrasco'!E203</f>
        <v/>
      </c>
      <c r="F286" s="108" t="str">
        <f>'Alexandro Carrasco'!F203</f>
        <v/>
      </c>
      <c r="G286" s="48" t="str">
        <f>'Alexandro Carrasco'!G203</f>
        <v/>
      </c>
      <c r="H286" s="49" t="str">
        <f>'Alexandro Carrasco'!H203</f>
        <v/>
      </c>
      <c r="I286" s="21" t="str">
        <f>'Alexandro Carrasco'!I203</f>
        <v/>
      </c>
      <c r="J286" s="108" t="str">
        <f>'Alexandro Carrasco'!J203</f>
        <v/>
      </c>
      <c r="K286" s="12" t="str">
        <f>'Alexandro Carrasco'!K203</f>
        <v/>
      </c>
    </row>
    <row r="287" ht="22.5" customHeight="1">
      <c r="A287" s="107" t="str">
        <f>'Alexandro Carrasco'!A204</f>
        <v/>
      </c>
      <c r="B287" s="12" t="str">
        <f>'Alexandro Carrasco'!B204</f>
        <v/>
      </c>
      <c r="C287" s="12" t="str">
        <f>'Alexandro Carrasco'!C204</f>
        <v/>
      </c>
      <c r="D287" s="12" t="str">
        <f>'Alexandro Carrasco'!D204</f>
        <v/>
      </c>
      <c r="E287" s="12" t="str">
        <f>'Alexandro Carrasco'!E204</f>
        <v/>
      </c>
      <c r="F287" s="108" t="str">
        <f>'Alexandro Carrasco'!F204</f>
        <v/>
      </c>
      <c r="G287" s="48" t="str">
        <f>'Alexandro Carrasco'!G204</f>
        <v/>
      </c>
      <c r="H287" s="49" t="str">
        <f>'Alexandro Carrasco'!H204</f>
        <v/>
      </c>
      <c r="I287" s="21" t="str">
        <f>'Alexandro Carrasco'!I204</f>
        <v/>
      </c>
      <c r="J287" s="108" t="str">
        <f>'Alexandro Carrasco'!J204</f>
        <v/>
      </c>
      <c r="K287" s="12" t="str">
        <f>'Alexandro Carrasco'!K204</f>
        <v/>
      </c>
    </row>
    <row r="288" ht="22.5" customHeight="1">
      <c r="A288" s="107" t="str">
        <f>'Josué Morales'!A432</f>
        <v/>
      </c>
      <c r="B288" s="12" t="str">
        <f>'Josué Morales'!B432</f>
        <v/>
      </c>
      <c r="C288" s="12" t="str">
        <f>'Josué Morales'!C432</f>
        <v/>
      </c>
      <c r="D288" s="12" t="str">
        <f>'Josué Morales'!D432</f>
        <v/>
      </c>
      <c r="E288" s="12" t="str">
        <f>'Josué Morales'!E432</f>
        <v/>
      </c>
      <c r="F288" s="108" t="str">
        <f>'Josué Morales'!F432</f>
        <v/>
      </c>
      <c r="G288" s="48" t="str">
        <f>'Josué Morales'!G432</f>
        <v/>
      </c>
      <c r="H288" s="49" t="str">
        <f>'Josué Morales'!H432</f>
        <v/>
      </c>
      <c r="I288" s="21" t="str">
        <f>'Josué Morales'!I432</f>
        <v/>
      </c>
      <c r="J288" s="108" t="str">
        <f>'Josué Morales'!J432</f>
        <v/>
      </c>
      <c r="K288" s="12" t="str">
        <f>'Josué Morales'!K432</f>
        <v/>
      </c>
    </row>
    <row r="289" ht="22.5" customHeight="1">
      <c r="A289" s="107" t="str">
        <f>'Josué Morales'!A433</f>
        <v/>
      </c>
      <c r="B289" s="12" t="str">
        <f>'Josué Morales'!B433</f>
        <v/>
      </c>
      <c r="C289" s="12" t="str">
        <f>'Josué Morales'!C433</f>
        <v/>
      </c>
      <c r="D289" s="12" t="str">
        <f>'Josué Morales'!D433</f>
        <v/>
      </c>
      <c r="E289" s="12" t="str">
        <f>'Josué Morales'!E433</f>
        <v/>
      </c>
      <c r="F289" s="108" t="str">
        <f>'Josué Morales'!F433</f>
        <v/>
      </c>
      <c r="G289" s="48" t="str">
        <f>'Josué Morales'!G433</f>
        <v/>
      </c>
      <c r="H289" s="49" t="str">
        <f>'Josué Morales'!H433</f>
        <v/>
      </c>
      <c r="I289" s="21" t="str">
        <f>'Josué Morales'!I433</f>
        <v/>
      </c>
      <c r="J289" s="108" t="str">
        <f>'Josué Morales'!J433</f>
        <v/>
      </c>
      <c r="K289" s="12" t="str">
        <f>'Josué Morales'!K433</f>
        <v/>
      </c>
    </row>
    <row r="290" ht="22.5" customHeight="1">
      <c r="A290" s="107" t="str">
        <f>'Josué Morales'!A434</f>
        <v/>
      </c>
      <c r="B290" s="12" t="str">
        <f>'Josué Morales'!B434</f>
        <v/>
      </c>
      <c r="C290" s="12" t="str">
        <f>'Josué Morales'!C434</f>
        <v/>
      </c>
      <c r="D290" s="12" t="str">
        <f>'Josué Morales'!D434</f>
        <v/>
      </c>
      <c r="E290" s="12" t="str">
        <f>'Josué Morales'!E434</f>
        <v/>
      </c>
      <c r="F290" s="108" t="str">
        <f>'Josué Morales'!F434</f>
        <v/>
      </c>
      <c r="G290" s="48" t="str">
        <f>'Josué Morales'!G434</f>
        <v/>
      </c>
      <c r="H290" s="49" t="str">
        <f>'Josué Morales'!H434</f>
        <v/>
      </c>
      <c r="I290" s="21" t="str">
        <f>'Josué Morales'!I434</f>
        <v/>
      </c>
      <c r="J290" s="108" t="str">
        <f>'Josué Morales'!J434</f>
        <v/>
      </c>
      <c r="K290" s="12" t="str">
        <f>'Josué Morales'!K434</f>
        <v/>
      </c>
    </row>
    <row r="291" ht="22.5" customHeight="1">
      <c r="A291" s="107" t="str">
        <f>'Josué Morales'!A435</f>
        <v/>
      </c>
      <c r="B291" s="12" t="str">
        <f>'Josué Morales'!B435</f>
        <v/>
      </c>
      <c r="C291" s="12" t="str">
        <f>'Josué Morales'!C435</f>
        <v/>
      </c>
      <c r="D291" s="12" t="str">
        <f>'Josué Morales'!D435</f>
        <v/>
      </c>
      <c r="E291" s="12" t="str">
        <f>'Josué Morales'!E435</f>
        <v/>
      </c>
      <c r="F291" s="108" t="str">
        <f>'Josué Morales'!F435</f>
        <v/>
      </c>
      <c r="G291" s="48" t="str">
        <f>'Josué Morales'!G435</f>
        <v/>
      </c>
      <c r="H291" s="49" t="str">
        <f>'Josué Morales'!H435</f>
        <v/>
      </c>
      <c r="I291" s="21" t="str">
        <f>'Josué Morales'!I435</f>
        <v/>
      </c>
      <c r="J291" s="108" t="str">
        <f>'Josué Morales'!J435</f>
        <v/>
      </c>
      <c r="K291" s="12" t="str">
        <f>'Josué Morales'!K435</f>
        <v/>
      </c>
    </row>
    <row r="292" ht="22.5" customHeight="1">
      <c r="A292" s="107" t="str">
        <f>'Josué Morales'!A436</f>
        <v/>
      </c>
      <c r="B292" s="12" t="str">
        <f>'Josué Morales'!B436</f>
        <v/>
      </c>
      <c r="C292" s="12" t="str">
        <f>'Josué Morales'!C436</f>
        <v/>
      </c>
      <c r="D292" s="12" t="str">
        <f>'Josué Morales'!D436</f>
        <v/>
      </c>
      <c r="E292" s="12" t="str">
        <f>'Josué Morales'!E436</f>
        <v/>
      </c>
      <c r="F292" s="108" t="str">
        <f>'Josué Morales'!F436</f>
        <v/>
      </c>
      <c r="G292" s="48" t="str">
        <f>'Josué Morales'!G436</f>
        <v/>
      </c>
      <c r="H292" s="49" t="str">
        <f>'Josué Morales'!H436</f>
        <v/>
      </c>
      <c r="I292" s="21" t="str">
        <f>'Josué Morales'!I436</f>
        <v/>
      </c>
      <c r="J292" s="108" t="str">
        <f>'Josué Morales'!J436</f>
        <v/>
      </c>
      <c r="K292" s="12" t="str">
        <f>'Josué Morales'!K436</f>
        <v/>
      </c>
    </row>
    <row r="293" ht="22.5" customHeight="1">
      <c r="A293" s="107" t="str">
        <f>'Josué Morales'!A437</f>
        <v/>
      </c>
      <c r="B293" s="12" t="str">
        <f>'Josué Morales'!B437</f>
        <v/>
      </c>
      <c r="C293" s="12" t="str">
        <f>'Josué Morales'!C437</f>
        <v/>
      </c>
      <c r="D293" s="12" t="str">
        <f>'Josué Morales'!D437</f>
        <v/>
      </c>
      <c r="E293" s="12" t="str">
        <f>'Josué Morales'!E437</f>
        <v/>
      </c>
      <c r="F293" s="108" t="str">
        <f>'Josué Morales'!F437</f>
        <v/>
      </c>
      <c r="G293" s="48" t="str">
        <f>'Josué Morales'!G437</f>
        <v/>
      </c>
      <c r="H293" s="49" t="str">
        <f>'Josué Morales'!H437</f>
        <v/>
      </c>
      <c r="I293" s="21" t="str">
        <f>'Josué Morales'!I437</f>
        <v/>
      </c>
      <c r="J293" s="108" t="str">
        <f>'Josué Morales'!J437</f>
        <v/>
      </c>
      <c r="K293" s="12" t="str">
        <f>'Josué Morales'!K437</f>
        <v/>
      </c>
    </row>
    <row r="294" ht="22.5" customHeight="1">
      <c r="A294" s="107" t="str">
        <f>'Josué Morales'!A438</f>
        <v/>
      </c>
      <c r="B294" s="12" t="str">
        <f>'Josué Morales'!B438</f>
        <v/>
      </c>
      <c r="C294" s="12" t="str">
        <f>'Josué Morales'!C438</f>
        <v/>
      </c>
      <c r="D294" s="12" t="str">
        <f>'Josué Morales'!D438</f>
        <v/>
      </c>
      <c r="E294" s="12" t="str">
        <f>'Josué Morales'!E438</f>
        <v/>
      </c>
      <c r="F294" s="108" t="str">
        <f>'Josué Morales'!F438</f>
        <v/>
      </c>
      <c r="G294" s="48" t="str">
        <f>'Josué Morales'!G438</f>
        <v/>
      </c>
      <c r="H294" s="49" t="str">
        <f>'Josué Morales'!H438</f>
        <v/>
      </c>
      <c r="I294" s="21" t="str">
        <f>'Josué Morales'!I438</f>
        <v/>
      </c>
      <c r="J294" s="108" t="str">
        <f>'Josué Morales'!J438</f>
        <v/>
      </c>
      <c r="K294" s="12" t="str">
        <f>'Josué Morales'!K438</f>
        <v/>
      </c>
    </row>
    <row r="295" ht="22.5" customHeight="1">
      <c r="A295" s="107" t="str">
        <f>'Josué Morales'!A439</f>
        <v/>
      </c>
      <c r="B295" s="12" t="str">
        <f>'Josué Morales'!B439</f>
        <v/>
      </c>
      <c r="C295" s="12" t="str">
        <f>'Josué Morales'!C439</f>
        <v/>
      </c>
      <c r="D295" s="12" t="str">
        <f>'Josué Morales'!D439</f>
        <v/>
      </c>
      <c r="E295" s="12" t="str">
        <f>'Josué Morales'!E439</f>
        <v/>
      </c>
      <c r="F295" s="108" t="str">
        <f>'Josué Morales'!F439</f>
        <v/>
      </c>
      <c r="G295" s="48" t="str">
        <f>'Josué Morales'!G439</f>
        <v/>
      </c>
      <c r="H295" s="49" t="str">
        <f>'Josué Morales'!H439</f>
        <v/>
      </c>
      <c r="I295" s="21" t="str">
        <f>'Josué Morales'!I439</f>
        <v/>
      </c>
      <c r="J295" s="108" t="str">
        <f>'Josué Morales'!J439</f>
        <v/>
      </c>
      <c r="K295" s="12" t="str">
        <f>'Josué Morales'!K439</f>
        <v/>
      </c>
    </row>
    <row r="296" ht="22.5" customHeight="1">
      <c r="A296" s="107" t="str">
        <f>'Josué Morales'!A440</f>
        <v/>
      </c>
      <c r="B296" s="12" t="str">
        <f>'Josué Morales'!B440</f>
        <v/>
      </c>
      <c r="C296" s="12" t="str">
        <f>'Josué Morales'!C440</f>
        <v/>
      </c>
      <c r="D296" s="12" t="str">
        <f>'Josué Morales'!D440</f>
        <v/>
      </c>
      <c r="E296" s="12" t="str">
        <f>'Josué Morales'!E440</f>
        <v/>
      </c>
      <c r="F296" s="108" t="str">
        <f>'Josué Morales'!F440</f>
        <v/>
      </c>
      <c r="G296" s="48" t="str">
        <f>'Josué Morales'!G440</f>
        <v/>
      </c>
      <c r="H296" s="49" t="str">
        <f>'Josué Morales'!H440</f>
        <v/>
      </c>
      <c r="I296" s="21" t="str">
        <f>'Josué Morales'!I440</f>
        <v/>
      </c>
      <c r="J296" s="108" t="str">
        <f>'Josué Morales'!J440</f>
        <v/>
      </c>
      <c r="K296" s="12" t="str">
        <f>'Josué Morales'!K440</f>
        <v/>
      </c>
    </row>
    <row r="297" ht="22.5" customHeight="1">
      <c r="A297" s="107" t="str">
        <f>'Josué Morales'!A441</f>
        <v/>
      </c>
      <c r="B297" s="12" t="str">
        <f>'Josué Morales'!B441</f>
        <v/>
      </c>
      <c r="C297" s="12" t="str">
        <f>'Josué Morales'!C441</f>
        <v/>
      </c>
      <c r="D297" s="12" t="str">
        <f>'Josué Morales'!D441</f>
        <v/>
      </c>
      <c r="E297" s="12" t="str">
        <f>'Josué Morales'!E441</f>
        <v/>
      </c>
      <c r="F297" s="108" t="str">
        <f>'Josué Morales'!F441</f>
        <v/>
      </c>
      <c r="G297" s="48" t="str">
        <f>'Josué Morales'!G441</f>
        <v/>
      </c>
      <c r="H297" s="49" t="str">
        <f>'Josué Morales'!H441</f>
        <v/>
      </c>
      <c r="I297" s="21" t="str">
        <f>'Josué Morales'!I441</f>
        <v/>
      </c>
      <c r="J297" s="108" t="str">
        <f>'Josué Morales'!J441</f>
        <v/>
      </c>
      <c r="K297" s="12" t="str">
        <f>'Josué Morales'!K441</f>
        <v/>
      </c>
    </row>
    <row r="298" ht="22.5" customHeight="1">
      <c r="A298" s="107" t="str">
        <f>'Josué Morales'!A442</f>
        <v/>
      </c>
      <c r="B298" s="12" t="str">
        <f>'Josué Morales'!B442</f>
        <v/>
      </c>
      <c r="C298" s="12" t="str">
        <f>'Josué Morales'!C442</f>
        <v/>
      </c>
      <c r="D298" s="12" t="str">
        <f>'Josué Morales'!D442</f>
        <v/>
      </c>
      <c r="E298" s="12" t="str">
        <f>'Josué Morales'!E442</f>
        <v/>
      </c>
      <c r="F298" s="108" t="str">
        <f>'Josué Morales'!F442</f>
        <v/>
      </c>
      <c r="G298" s="48" t="str">
        <f>'Josué Morales'!G442</f>
        <v/>
      </c>
      <c r="H298" s="49" t="str">
        <f>'Josué Morales'!H442</f>
        <v/>
      </c>
      <c r="I298" s="21" t="str">
        <f>'Josué Morales'!I442</f>
        <v/>
      </c>
      <c r="J298" s="108" t="str">
        <f>'Josué Morales'!J442</f>
        <v/>
      </c>
      <c r="K298" s="12" t="str">
        <f>'Josué Morales'!K442</f>
        <v/>
      </c>
    </row>
    <row r="299" ht="22.5" customHeight="1">
      <c r="A299" s="107" t="str">
        <f>'Josué Morales'!A443</f>
        <v/>
      </c>
      <c r="B299" s="12" t="str">
        <f>'Josué Morales'!B443</f>
        <v/>
      </c>
      <c r="C299" s="12" t="str">
        <f>'Josué Morales'!C443</f>
        <v/>
      </c>
      <c r="D299" s="12" t="str">
        <f>'Josué Morales'!D443</f>
        <v/>
      </c>
      <c r="E299" s="12" t="str">
        <f>'Josué Morales'!E443</f>
        <v/>
      </c>
      <c r="F299" s="108" t="str">
        <f>'Josué Morales'!F443</f>
        <v/>
      </c>
      <c r="G299" s="48" t="str">
        <f>'Josué Morales'!G443</f>
        <v/>
      </c>
      <c r="H299" s="49" t="str">
        <f>'Josué Morales'!H443</f>
        <v/>
      </c>
      <c r="I299" s="21" t="str">
        <f>'Josué Morales'!I443</f>
        <v/>
      </c>
      <c r="J299" s="108" t="str">
        <f>'Josué Morales'!J443</f>
        <v/>
      </c>
      <c r="K299" s="12" t="str">
        <f>'Josué Morales'!K443</f>
        <v/>
      </c>
    </row>
    <row r="300" ht="22.5" customHeight="1">
      <c r="A300" s="107" t="str">
        <f>'Josué Morales'!A444</f>
        <v/>
      </c>
      <c r="B300" s="12" t="str">
        <f>'Josué Morales'!B444</f>
        <v/>
      </c>
      <c r="C300" s="12" t="str">
        <f>'Josué Morales'!C444</f>
        <v/>
      </c>
      <c r="D300" s="12" t="str">
        <f>'Josué Morales'!D444</f>
        <v/>
      </c>
      <c r="E300" s="12" t="str">
        <f>'Josué Morales'!E444</f>
        <v/>
      </c>
      <c r="F300" s="108" t="str">
        <f>'Josué Morales'!F444</f>
        <v/>
      </c>
      <c r="G300" s="48" t="str">
        <f>'Josué Morales'!G444</f>
        <v/>
      </c>
      <c r="H300" s="49" t="str">
        <f>'Josué Morales'!H444</f>
        <v/>
      </c>
      <c r="I300" s="21" t="str">
        <f>'Josué Morales'!I444</f>
        <v/>
      </c>
      <c r="J300" s="108" t="str">
        <f>'Josué Morales'!J444</f>
        <v/>
      </c>
      <c r="K300" s="12" t="str">
        <f>'Josué Morales'!K444</f>
        <v/>
      </c>
    </row>
    <row r="301" ht="22.5" customHeight="1">
      <c r="A301" s="107" t="str">
        <f>'Josué Morales'!A445</f>
        <v/>
      </c>
      <c r="B301" s="12" t="str">
        <f>'Josué Morales'!B445</f>
        <v/>
      </c>
      <c r="C301" s="12" t="str">
        <f>'Josué Morales'!C445</f>
        <v/>
      </c>
      <c r="D301" s="12" t="str">
        <f>'Josué Morales'!D445</f>
        <v/>
      </c>
      <c r="E301" s="12" t="str">
        <f>'Josué Morales'!E445</f>
        <v/>
      </c>
      <c r="F301" s="108" t="str">
        <f>'Josué Morales'!F445</f>
        <v/>
      </c>
      <c r="G301" s="48" t="str">
        <f>'Josué Morales'!G445</f>
        <v/>
      </c>
      <c r="H301" s="49" t="str">
        <f>'Josué Morales'!H445</f>
        <v/>
      </c>
      <c r="I301" s="21" t="str">
        <f>'Josué Morales'!I445</f>
        <v/>
      </c>
      <c r="J301" s="108" t="str">
        <f>'Josué Morales'!J445</f>
        <v/>
      </c>
      <c r="K301" s="12" t="str">
        <f>'Josué Morales'!K445</f>
        <v/>
      </c>
    </row>
    <row r="302" ht="22.5" customHeight="1">
      <c r="A302" s="107" t="str">
        <f>'Josué Morales'!A446</f>
        <v/>
      </c>
      <c r="B302" s="12" t="str">
        <f>'Josué Morales'!B446</f>
        <v/>
      </c>
      <c r="C302" s="12" t="str">
        <f>'Josué Morales'!C446</f>
        <v/>
      </c>
      <c r="D302" s="12" t="str">
        <f>'Josué Morales'!D446</f>
        <v/>
      </c>
      <c r="E302" s="12" t="str">
        <f>'Josué Morales'!E446</f>
        <v/>
      </c>
      <c r="F302" s="108" t="str">
        <f>'Josué Morales'!F446</f>
        <v/>
      </c>
      <c r="G302" s="48" t="str">
        <f>'Josué Morales'!G446</f>
        <v/>
      </c>
      <c r="H302" s="49" t="str">
        <f>'Josué Morales'!H446</f>
        <v/>
      </c>
      <c r="I302" s="21" t="str">
        <f>'Josué Morales'!I446</f>
        <v/>
      </c>
      <c r="J302" s="108" t="str">
        <f>'Josué Morales'!J446</f>
        <v/>
      </c>
      <c r="K302" s="12" t="str">
        <f>'Josué Morales'!K446</f>
        <v/>
      </c>
    </row>
    <row r="303" ht="22.5" customHeight="1">
      <c r="A303" s="107" t="str">
        <f>'Josué Morales'!A447</f>
        <v/>
      </c>
      <c r="B303" s="12" t="str">
        <f>'Josué Morales'!B447</f>
        <v/>
      </c>
      <c r="C303" s="12" t="str">
        <f>'Josué Morales'!C447</f>
        <v/>
      </c>
      <c r="D303" s="12" t="str">
        <f>'Josué Morales'!D447</f>
        <v/>
      </c>
      <c r="E303" s="12" t="str">
        <f>'Josué Morales'!E447</f>
        <v/>
      </c>
      <c r="F303" s="108" t="str">
        <f>'Josué Morales'!F447</f>
        <v/>
      </c>
      <c r="G303" s="48" t="str">
        <f>'Josué Morales'!G447</f>
        <v/>
      </c>
      <c r="H303" s="49" t="str">
        <f>'Josué Morales'!H447</f>
        <v/>
      </c>
      <c r="I303" s="21" t="str">
        <f>'Josué Morales'!I447</f>
        <v/>
      </c>
      <c r="J303" s="108" t="str">
        <f>'Josué Morales'!J447</f>
        <v/>
      </c>
      <c r="K303" s="12" t="str">
        <f>'Josué Morales'!K447</f>
        <v/>
      </c>
    </row>
    <row r="304" ht="22.5" customHeight="1">
      <c r="A304" s="107" t="str">
        <f>'Josué Morales'!A448</f>
        <v/>
      </c>
      <c r="B304" s="12" t="str">
        <f>'Josué Morales'!B448</f>
        <v/>
      </c>
      <c r="C304" s="12" t="str">
        <f>'Josué Morales'!C448</f>
        <v/>
      </c>
      <c r="D304" s="12" t="str">
        <f>'Josué Morales'!D448</f>
        <v/>
      </c>
      <c r="E304" s="12" t="str">
        <f>'Josué Morales'!E448</f>
        <v/>
      </c>
      <c r="F304" s="108" t="str">
        <f>'Josué Morales'!F448</f>
        <v/>
      </c>
      <c r="G304" s="48" t="str">
        <f>'Josué Morales'!G448</f>
        <v/>
      </c>
      <c r="H304" s="49" t="str">
        <f>'Josué Morales'!H448</f>
        <v/>
      </c>
      <c r="I304" s="21" t="str">
        <f>'Josué Morales'!I448</f>
        <v/>
      </c>
      <c r="J304" s="108" t="str">
        <f>'Josué Morales'!J448</f>
        <v/>
      </c>
      <c r="K304" s="12" t="str">
        <f>'Josué Morales'!K448</f>
        <v/>
      </c>
    </row>
    <row r="305" ht="22.5" customHeight="1">
      <c r="A305" s="107" t="str">
        <f>'Josué Morales'!A449</f>
        <v/>
      </c>
      <c r="B305" s="12" t="str">
        <f>'Josué Morales'!B449</f>
        <v/>
      </c>
      <c r="C305" s="12" t="str">
        <f>'Josué Morales'!C449</f>
        <v/>
      </c>
      <c r="D305" s="12" t="str">
        <f>'Josué Morales'!D449</f>
        <v/>
      </c>
      <c r="E305" s="12" t="str">
        <f>'Josué Morales'!E449</f>
        <v/>
      </c>
      <c r="F305" s="108" t="str">
        <f>'Josué Morales'!F449</f>
        <v/>
      </c>
      <c r="G305" s="48" t="str">
        <f>'Josué Morales'!G449</f>
        <v/>
      </c>
      <c r="H305" s="49" t="str">
        <f>'Josué Morales'!H449</f>
        <v/>
      </c>
      <c r="I305" s="21" t="str">
        <f>'Josué Morales'!I449</f>
        <v/>
      </c>
      <c r="J305" s="108" t="str">
        <f>'Josué Morales'!J449</f>
        <v/>
      </c>
      <c r="K305" s="12" t="str">
        <f>'Josué Morales'!K449</f>
        <v/>
      </c>
    </row>
    <row r="306" ht="22.5" customHeight="1">
      <c r="A306" s="107" t="str">
        <f>'Josué Morales'!A450</f>
        <v/>
      </c>
      <c r="B306" s="12" t="str">
        <f>'Josué Morales'!B450</f>
        <v/>
      </c>
      <c r="C306" s="12" t="str">
        <f>'Josué Morales'!C450</f>
        <v/>
      </c>
      <c r="D306" s="12" t="str">
        <f>'Josué Morales'!D450</f>
        <v/>
      </c>
      <c r="E306" s="12" t="str">
        <f>'Josué Morales'!E450</f>
        <v/>
      </c>
      <c r="F306" s="108" t="str">
        <f>'Josué Morales'!F450</f>
        <v/>
      </c>
      <c r="G306" s="48" t="str">
        <f>'Josué Morales'!G450</f>
        <v/>
      </c>
      <c r="H306" s="49" t="str">
        <f>'Josué Morales'!H450</f>
        <v/>
      </c>
      <c r="I306" s="21" t="str">
        <f>'Josué Morales'!I450</f>
        <v/>
      </c>
      <c r="J306" s="108" t="str">
        <f>'Josué Morales'!J450</f>
        <v/>
      </c>
      <c r="K306" s="12" t="str">
        <f>'Josué Morales'!K450</f>
        <v/>
      </c>
    </row>
    <row r="307" ht="22.5" customHeight="1">
      <c r="A307" s="107" t="str">
        <f>'Josué Morales'!A451</f>
        <v/>
      </c>
      <c r="B307" s="12" t="str">
        <f>'Josué Morales'!B451</f>
        <v/>
      </c>
      <c r="C307" s="12" t="str">
        <f>'Josué Morales'!C451</f>
        <v/>
      </c>
      <c r="D307" s="12" t="str">
        <f>'Josué Morales'!D451</f>
        <v/>
      </c>
      <c r="E307" s="12" t="str">
        <f>'Josué Morales'!E451</f>
        <v/>
      </c>
      <c r="F307" s="108" t="str">
        <f>'Josué Morales'!F451</f>
        <v/>
      </c>
      <c r="G307" s="48" t="str">
        <f>'Josué Morales'!G451</f>
        <v/>
      </c>
      <c r="H307" s="49" t="str">
        <f>'Josué Morales'!H451</f>
        <v/>
      </c>
      <c r="I307" s="21" t="str">
        <f>'Josué Morales'!I451</f>
        <v/>
      </c>
      <c r="J307" s="108" t="str">
        <f>'Josué Morales'!J451</f>
        <v/>
      </c>
      <c r="K307" s="12" t="str">
        <f>'Josué Morales'!K451</f>
        <v/>
      </c>
    </row>
    <row r="308" ht="22.5" customHeight="1">
      <c r="A308" s="107" t="str">
        <f>'Josué Morales'!A452</f>
        <v/>
      </c>
      <c r="B308" s="12" t="str">
        <f>'Josué Morales'!B452</f>
        <v/>
      </c>
      <c r="C308" s="12" t="str">
        <f>'Josué Morales'!C452</f>
        <v/>
      </c>
      <c r="D308" s="12" t="str">
        <f>'Josué Morales'!D452</f>
        <v/>
      </c>
      <c r="E308" s="12" t="str">
        <f>'Josué Morales'!E452</f>
        <v/>
      </c>
      <c r="F308" s="108" t="str">
        <f>'Josué Morales'!F452</f>
        <v/>
      </c>
      <c r="G308" s="48" t="str">
        <f>'Josué Morales'!G452</f>
        <v/>
      </c>
      <c r="H308" s="49" t="str">
        <f>'Josué Morales'!H452</f>
        <v/>
      </c>
      <c r="I308" s="21" t="str">
        <f>'Josué Morales'!I452</f>
        <v/>
      </c>
      <c r="J308" s="108" t="str">
        <f>'Josué Morales'!J452</f>
        <v/>
      </c>
      <c r="K308" s="12" t="str">
        <f>'Josué Morales'!K452</f>
        <v/>
      </c>
    </row>
    <row r="309" ht="22.5" customHeight="1">
      <c r="A309" s="107" t="str">
        <f>'Josué Morales'!A453</f>
        <v/>
      </c>
      <c r="B309" s="12" t="str">
        <f>'Josué Morales'!B453</f>
        <v/>
      </c>
      <c r="C309" s="12" t="str">
        <f>'Josué Morales'!C453</f>
        <v/>
      </c>
      <c r="D309" s="12" t="str">
        <f>'Josué Morales'!D453</f>
        <v/>
      </c>
      <c r="E309" s="12" t="str">
        <f>'Josué Morales'!E453</f>
        <v/>
      </c>
      <c r="F309" s="108" t="str">
        <f>'Josué Morales'!F453</f>
        <v/>
      </c>
      <c r="G309" s="48" t="str">
        <f>'Josué Morales'!G453</f>
        <v/>
      </c>
      <c r="H309" s="49" t="str">
        <f>'Josué Morales'!H453</f>
        <v/>
      </c>
      <c r="I309" s="21" t="str">
        <f>'Josué Morales'!I453</f>
        <v/>
      </c>
      <c r="J309" s="108" t="str">
        <f>'Josué Morales'!J453</f>
        <v/>
      </c>
      <c r="K309" s="12" t="str">
        <f>'Josué Morales'!K453</f>
        <v/>
      </c>
    </row>
    <row r="310" ht="22.5" customHeight="1">
      <c r="A310" s="107" t="str">
        <f>'Josué Morales'!A454</f>
        <v/>
      </c>
      <c r="B310" s="12" t="str">
        <f>'Josué Morales'!B454</f>
        <v/>
      </c>
      <c r="C310" s="12" t="str">
        <f>'Josué Morales'!C454</f>
        <v/>
      </c>
      <c r="D310" s="12" t="str">
        <f>'Josué Morales'!D454</f>
        <v/>
      </c>
      <c r="E310" s="12" t="str">
        <f>'Josué Morales'!E454</f>
        <v/>
      </c>
      <c r="F310" s="108" t="str">
        <f>'Josué Morales'!F454</f>
        <v/>
      </c>
      <c r="G310" s="48" t="str">
        <f>'Josué Morales'!G454</f>
        <v/>
      </c>
      <c r="H310" s="49" t="str">
        <f>'Josué Morales'!H454</f>
        <v/>
      </c>
      <c r="I310" s="21" t="str">
        <f>'Josué Morales'!I454</f>
        <v/>
      </c>
      <c r="J310" s="108" t="str">
        <f>'Josué Morales'!J454</f>
        <v/>
      </c>
      <c r="K310" s="12" t="str">
        <f>'Josué Morales'!K454</f>
        <v/>
      </c>
    </row>
    <row r="311" ht="22.5" customHeight="1">
      <c r="A311" s="107" t="str">
        <f>'Josué Morales'!A455</f>
        <v/>
      </c>
      <c r="B311" s="12" t="str">
        <f>'Josué Morales'!B455</f>
        <v/>
      </c>
      <c r="C311" s="12" t="str">
        <f>'Josué Morales'!C455</f>
        <v/>
      </c>
      <c r="D311" s="12" t="str">
        <f>'Josué Morales'!D455</f>
        <v/>
      </c>
      <c r="E311" s="12" t="str">
        <f>'Josué Morales'!E455</f>
        <v/>
      </c>
      <c r="F311" s="108" t="str">
        <f>'Josué Morales'!F455</f>
        <v/>
      </c>
      <c r="G311" s="48" t="str">
        <f>'Josué Morales'!G455</f>
        <v/>
      </c>
      <c r="H311" s="49" t="str">
        <f>'Josué Morales'!H455</f>
        <v/>
      </c>
      <c r="I311" s="21" t="str">
        <f>'Josué Morales'!I455</f>
        <v/>
      </c>
      <c r="J311" s="108" t="str">
        <f>'Josué Morales'!J455</f>
        <v/>
      </c>
      <c r="K311" s="12" t="str">
        <f>'Josué Morales'!K455</f>
        <v/>
      </c>
    </row>
    <row r="312" ht="22.5" customHeight="1">
      <c r="A312" s="107" t="str">
        <f>'Josué Morales'!A456</f>
        <v/>
      </c>
      <c r="B312" s="12" t="str">
        <f>'Josué Morales'!B456</f>
        <v/>
      </c>
      <c r="C312" s="12" t="str">
        <f>'Josué Morales'!C456</f>
        <v/>
      </c>
      <c r="D312" s="12" t="str">
        <f>'Josué Morales'!D456</f>
        <v/>
      </c>
      <c r="E312" s="12" t="str">
        <f>'Josué Morales'!E456</f>
        <v/>
      </c>
      <c r="F312" s="108" t="str">
        <f>'Josué Morales'!F456</f>
        <v/>
      </c>
      <c r="G312" s="48" t="str">
        <f>'Josué Morales'!G456</f>
        <v/>
      </c>
      <c r="H312" s="49" t="str">
        <f>'Josué Morales'!H456</f>
        <v/>
      </c>
      <c r="I312" s="21" t="str">
        <f>'Josué Morales'!I456</f>
        <v/>
      </c>
      <c r="J312" s="108" t="str">
        <f>'Josué Morales'!J456</f>
        <v/>
      </c>
      <c r="K312" s="12" t="str">
        <f>'Josué Morales'!K456</f>
        <v/>
      </c>
    </row>
    <row r="313" ht="22.5" customHeight="1">
      <c r="A313" s="107" t="str">
        <f>'Josué Morales'!A457</f>
        <v/>
      </c>
      <c r="B313" s="12" t="str">
        <f>'Josué Morales'!B457</f>
        <v/>
      </c>
      <c r="C313" s="12" t="str">
        <f>'Josué Morales'!C457</f>
        <v/>
      </c>
      <c r="D313" s="12" t="str">
        <f>'Josué Morales'!D457</f>
        <v/>
      </c>
      <c r="E313" s="12" t="str">
        <f>'Josué Morales'!E457</f>
        <v/>
      </c>
      <c r="F313" s="108" t="str">
        <f>'Josué Morales'!F457</f>
        <v/>
      </c>
      <c r="G313" s="48" t="str">
        <f>'Josué Morales'!G457</f>
        <v/>
      </c>
      <c r="H313" s="49" t="str">
        <f>'Josué Morales'!H457</f>
        <v/>
      </c>
      <c r="I313" s="21" t="str">
        <f>'Josué Morales'!I457</f>
        <v/>
      </c>
      <c r="J313" s="108" t="str">
        <f>'Josué Morales'!J457</f>
        <v/>
      </c>
      <c r="K313" s="12" t="str">
        <f>'Josué Morales'!K457</f>
        <v/>
      </c>
    </row>
    <row r="314" ht="22.5" customHeight="1">
      <c r="A314" s="107" t="str">
        <f>'Josué Morales'!A458</f>
        <v/>
      </c>
      <c r="B314" s="12" t="str">
        <f>'Josué Morales'!B458</f>
        <v/>
      </c>
      <c r="C314" s="12" t="str">
        <f>'Josué Morales'!C458</f>
        <v/>
      </c>
      <c r="D314" s="12" t="str">
        <f>'Josué Morales'!D458</f>
        <v/>
      </c>
      <c r="E314" s="12" t="str">
        <f>'Josué Morales'!E458</f>
        <v/>
      </c>
      <c r="F314" s="108" t="str">
        <f>'Josué Morales'!F458</f>
        <v/>
      </c>
      <c r="G314" s="48" t="str">
        <f>'Josué Morales'!G458</f>
        <v/>
      </c>
      <c r="H314" s="49" t="str">
        <f>'Josué Morales'!H458</f>
        <v/>
      </c>
      <c r="I314" s="21" t="str">
        <f>'Josué Morales'!I458</f>
        <v/>
      </c>
      <c r="J314" s="108" t="str">
        <f>'Josué Morales'!J458</f>
        <v/>
      </c>
      <c r="K314" s="12" t="str">
        <f>'Josué Morales'!K458</f>
        <v/>
      </c>
    </row>
    <row r="315" ht="22.5" customHeight="1">
      <c r="A315" s="107" t="str">
        <f>'Josué Morales'!A459</f>
        <v/>
      </c>
      <c r="B315" s="12" t="str">
        <f>'Josué Morales'!B459</f>
        <v/>
      </c>
      <c r="C315" s="12" t="str">
        <f>'Josué Morales'!C459</f>
        <v/>
      </c>
      <c r="D315" s="12" t="str">
        <f>'Josué Morales'!D459</f>
        <v/>
      </c>
      <c r="E315" s="12" t="str">
        <f>'Josué Morales'!E459</f>
        <v/>
      </c>
      <c r="F315" s="108" t="str">
        <f>'Josué Morales'!F459</f>
        <v/>
      </c>
      <c r="G315" s="48" t="str">
        <f>'Josué Morales'!G459</f>
        <v/>
      </c>
      <c r="H315" s="49" t="str">
        <f>'Josué Morales'!H459</f>
        <v/>
      </c>
      <c r="I315" s="21" t="str">
        <f>'Josué Morales'!I459</f>
        <v/>
      </c>
      <c r="J315" s="108" t="str">
        <f>'Josué Morales'!J459</f>
        <v/>
      </c>
      <c r="K315" s="12" t="str">
        <f>'Josué Morales'!K459</f>
        <v/>
      </c>
    </row>
    <row r="316" ht="22.5" customHeight="1">
      <c r="A316" s="107" t="str">
        <f>'Josué Morales'!A460</f>
        <v/>
      </c>
      <c r="B316" s="12" t="str">
        <f>'Josué Morales'!B460</f>
        <v/>
      </c>
      <c r="C316" s="12" t="str">
        <f>'Josué Morales'!C460</f>
        <v/>
      </c>
      <c r="D316" s="12" t="str">
        <f>'Josué Morales'!D460</f>
        <v/>
      </c>
      <c r="E316" s="12" t="str">
        <f>'Josué Morales'!E460</f>
        <v/>
      </c>
      <c r="F316" s="108" t="str">
        <f>'Josué Morales'!F460</f>
        <v/>
      </c>
      <c r="G316" s="48" t="str">
        <f>'Josué Morales'!G460</f>
        <v/>
      </c>
      <c r="H316" s="49" t="str">
        <f>'Josué Morales'!H460</f>
        <v/>
      </c>
      <c r="I316" s="21" t="str">
        <f>'Josué Morales'!I460</f>
        <v/>
      </c>
      <c r="J316" s="108" t="str">
        <f>'Josué Morales'!J460</f>
        <v/>
      </c>
      <c r="K316" s="12" t="str">
        <f>'Josué Morales'!K460</f>
        <v/>
      </c>
    </row>
    <row r="317" ht="22.5" customHeight="1">
      <c r="A317" s="107" t="str">
        <f>'Josué Morales'!A461</f>
        <v/>
      </c>
      <c r="B317" s="12" t="str">
        <f>'Josué Morales'!B461</f>
        <v/>
      </c>
      <c r="C317" s="12" t="str">
        <f>'Josué Morales'!C461</f>
        <v/>
      </c>
      <c r="D317" s="12" t="str">
        <f>'Josué Morales'!D461</f>
        <v/>
      </c>
      <c r="E317" s="12" t="str">
        <f>'Josué Morales'!E461</f>
        <v/>
      </c>
      <c r="F317" s="108" t="str">
        <f>'Josué Morales'!F461</f>
        <v/>
      </c>
      <c r="G317" s="48" t="str">
        <f>'Josué Morales'!G461</f>
        <v/>
      </c>
      <c r="H317" s="49" t="str">
        <f>'Josué Morales'!H461</f>
        <v/>
      </c>
      <c r="I317" s="21" t="str">
        <f>'Josué Morales'!I461</f>
        <v/>
      </c>
      <c r="J317" s="108" t="str">
        <f>'Josué Morales'!J461</f>
        <v/>
      </c>
      <c r="K317" s="12" t="str">
        <f>'Josué Morales'!K461</f>
        <v/>
      </c>
    </row>
    <row r="318" ht="22.5" customHeight="1">
      <c r="A318" s="107" t="str">
        <f>'Josué Morales'!A462</f>
        <v/>
      </c>
      <c r="B318" s="12" t="str">
        <f>'Josué Morales'!B462</f>
        <v/>
      </c>
      <c r="C318" s="12" t="str">
        <f>'Josué Morales'!C462</f>
        <v/>
      </c>
      <c r="D318" s="12" t="str">
        <f>'Josué Morales'!D462</f>
        <v/>
      </c>
      <c r="E318" s="12" t="str">
        <f>'Josué Morales'!E462</f>
        <v/>
      </c>
      <c r="F318" s="108" t="str">
        <f>'Josué Morales'!F462</f>
        <v/>
      </c>
      <c r="G318" s="48" t="str">
        <f>'Josué Morales'!G462</f>
        <v/>
      </c>
      <c r="H318" s="49" t="str">
        <f>'Josué Morales'!H462</f>
        <v/>
      </c>
      <c r="I318" s="21" t="str">
        <f>'Josué Morales'!I462</f>
        <v/>
      </c>
      <c r="J318" s="108" t="str">
        <f>'Josué Morales'!J462</f>
        <v/>
      </c>
      <c r="K318" s="12" t="str">
        <f>'Josué Morales'!K462</f>
        <v/>
      </c>
    </row>
    <row r="319" ht="22.5" customHeight="1">
      <c r="A319" s="107" t="str">
        <f>'Josué Morales'!A463</f>
        <v/>
      </c>
      <c r="B319" s="12" t="str">
        <f>'Josué Morales'!B463</f>
        <v/>
      </c>
      <c r="C319" s="12" t="str">
        <f>'Josué Morales'!C463</f>
        <v/>
      </c>
      <c r="D319" s="12" t="str">
        <f>'Josué Morales'!D463</f>
        <v/>
      </c>
      <c r="E319" s="12" t="str">
        <f>'Josué Morales'!E463</f>
        <v/>
      </c>
      <c r="F319" s="108" t="str">
        <f>'Josué Morales'!F463</f>
        <v/>
      </c>
      <c r="G319" s="48" t="str">
        <f>'Josué Morales'!G463</f>
        <v/>
      </c>
      <c r="H319" s="49" t="str">
        <f>'Josué Morales'!H463</f>
        <v/>
      </c>
      <c r="I319" s="21" t="str">
        <f>'Josué Morales'!I463</f>
        <v/>
      </c>
      <c r="J319" s="108" t="str">
        <f>'Josué Morales'!J463</f>
        <v/>
      </c>
      <c r="K319" s="12" t="str">
        <f>'Josué Morales'!K463</f>
        <v/>
      </c>
    </row>
    <row r="320" ht="22.5" customHeight="1">
      <c r="A320" s="107" t="str">
        <f>'Josué Morales'!A464</f>
        <v/>
      </c>
      <c r="B320" s="12" t="str">
        <f>'Josué Morales'!B464</f>
        <v/>
      </c>
      <c r="C320" s="12" t="str">
        <f>'Josué Morales'!C464</f>
        <v/>
      </c>
      <c r="D320" s="12" t="str">
        <f>'Josué Morales'!D464</f>
        <v/>
      </c>
      <c r="E320" s="12" t="str">
        <f>'Josué Morales'!E464</f>
        <v/>
      </c>
      <c r="F320" s="108" t="str">
        <f>'Josué Morales'!F464</f>
        <v/>
      </c>
      <c r="G320" s="48" t="str">
        <f>'Josué Morales'!G464</f>
        <v/>
      </c>
      <c r="H320" s="49" t="str">
        <f>'Josué Morales'!H464</f>
        <v/>
      </c>
      <c r="I320" s="21" t="str">
        <f>'Josué Morales'!I464</f>
        <v/>
      </c>
      <c r="J320" s="108" t="str">
        <f>'Josué Morales'!J464</f>
        <v/>
      </c>
      <c r="K320" s="12" t="str">
        <f>'Josué Morales'!K464</f>
        <v/>
      </c>
    </row>
    <row r="321" ht="22.5" customHeight="1">
      <c r="A321" s="107" t="str">
        <f>'Josué Morales'!A465</f>
        <v/>
      </c>
      <c r="B321" s="12" t="str">
        <f>'Josué Morales'!B465</f>
        <v/>
      </c>
      <c r="C321" s="12" t="str">
        <f>'Josué Morales'!C465</f>
        <v/>
      </c>
      <c r="D321" s="12" t="str">
        <f>'Josué Morales'!D465</f>
        <v/>
      </c>
      <c r="E321" s="12" t="str">
        <f>'Josué Morales'!E465</f>
        <v/>
      </c>
      <c r="F321" s="108" t="str">
        <f>'Josué Morales'!F465</f>
        <v/>
      </c>
      <c r="G321" s="48" t="str">
        <f>'Josué Morales'!G465</f>
        <v/>
      </c>
      <c r="H321" s="49" t="str">
        <f>'Josué Morales'!H465</f>
        <v/>
      </c>
      <c r="I321" s="21" t="str">
        <f>'Josué Morales'!I465</f>
        <v/>
      </c>
      <c r="J321" s="108" t="str">
        <f>'Josué Morales'!J465</f>
        <v/>
      </c>
      <c r="K321" s="12" t="str">
        <f>'Josué Morales'!K465</f>
        <v/>
      </c>
    </row>
    <row r="322" ht="22.5" customHeight="1">
      <c r="A322" s="107" t="str">
        <f>'Josué Morales'!A466</f>
        <v/>
      </c>
      <c r="B322" s="12" t="str">
        <f>'Josué Morales'!B466</f>
        <v/>
      </c>
      <c r="C322" s="12" t="str">
        <f>'Josué Morales'!C466</f>
        <v/>
      </c>
      <c r="D322" s="12" t="str">
        <f>'Josué Morales'!D466</f>
        <v/>
      </c>
      <c r="E322" s="12" t="str">
        <f>'Josué Morales'!E466</f>
        <v/>
      </c>
      <c r="F322" s="108" t="str">
        <f>'Josué Morales'!F466</f>
        <v/>
      </c>
      <c r="G322" s="48" t="str">
        <f>'Josué Morales'!G466</f>
        <v/>
      </c>
      <c r="H322" s="49" t="str">
        <f>'Josué Morales'!H466</f>
        <v/>
      </c>
      <c r="I322" s="21" t="str">
        <f>'Josué Morales'!I466</f>
        <v/>
      </c>
      <c r="J322" s="108" t="str">
        <f>'Josué Morales'!J466</f>
        <v/>
      </c>
      <c r="K322" s="12" t="str">
        <f>'Josué Morales'!K466</f>
        <v/>
      </c>
    </row>
    <row r="323" ht="22.5" customHeight="1">
      <c r="A323" s="107" t="str">
        <f>'Josué Morales'!A467</f>
        <v/>
      </c>
      <c r="B323" s="12" t="str">
        <f>'Josué Morales'!B467</f>
        <v/>
      </c>
      <c r="C323" s="12" t="str">
        <f>'Josué Morales'!C467</f>
        <v/>
      </c>
      <c r="D323" s="12" t="str">
        <f>'Josué Morales'!D467</f>
        <v/>
      </c>
      <c r="E323" s="12" t="str">
        <f>'Josué Morales'!E467</f>
        <v/>
      </c>
      <c r="F323" s="108" t="str">
        <f>'Josué Morales'!F467</f>
        <v/>
      </c>
      <c r="G323" s="48" t="str">
        <f>'Josué Morales'!G467</f>
        <v/>
      </c>
      <c r="H323" s="49" t="str">
        <f>'Josué Morales'!H467</f>
        <v/>
      </c>
      <c r="I323" s="21" t="str">
        <f>'Josué Morales'!I467</f>
        <v/>
      </c>
      <c r="J323" s="108" t="str">
        <f>'Josué Morales'!J467</f>
        <v/>
      </c>
      <c r="K323" s="12" t="str">
        <f>'Josué Morales'!K467</f>
        <v/>
      </c>
    </row>
    <row r="324" ht="22.5" customHeight="1">
      <c r="A324" s="107" t="str">
        <f>'Josué Morales'!A468</f>
        <v/>
      </c>
      <c r="B324" s="12" t="str">
        <f>'Josué Morales'!B468</f>
        <v/>
      </c>
      <c r="C324" s="12" t="str">
        <f>'Josué Morales'!C468</f>
        <v/>
      </c>
      <c r="D324" s="12" t="str">
        <f>'Josué Morales'!D468</f>
        <v/>
      </c>
      <c r="E324" s="12" t="str">
        <f>'Josué Morales'!E468</f>
        <v/>
      </c>
      <c r="F324" s="108" t="str">
        <f>'Josué Morales'!F468</f>
        <v/>
      </c>
      <c r="G324" s="48" t="str">
        <f>'Josué Morales'!G468</f>
        <v/>
      </c>
      <c r="H324" s="49" t="str">
        <f>'Josué Morales'!H468</f>
        <v/>
      </c>
      <c r="I324" s="21" t="str">
        <f>'Josué Morales'!I468</f>
        <v/>
      </c>
      <c r="J324" s="108" t="str">
        <f>'Josué Morales'!J468</f>
        <v/>
      </c>
      <c r="K324" s="12" t="str">
        <f>'Josué Morales'!K468</f>
        <v/>
      </c>
    </row>
    <row r="325" ht="22.5" customHeight="1">
      <c r="A325" s="107" t="str">
        <f>'Josué Morales'!A469</f>
        <v/>
      </c>
      <c r="B325" s="12" t="str">
        <f>'Josué Morales'!B469</f>
        <v/>
      </c>
      <c r="C325" s="12" t="str">
        <f>'Josué Morales'!C469</f>
        <v/>
      </c>
      <c r="D325" s="12" t="str">
        <f>'Josué Morales'!D469</f>
        <v/>
      </c>
      <c r="E325" s="12" t="str">
        <f>'Josué Morales'!E469</f>
        <v/>
      </c>
      <c r="F325" s="108" t="str">
        <f>'Josué Morales'!F469</f>
        <v/>
      </c>
      <c r="G325" s="48" t="str">
        <f>'Josué Morales'!G469</f>
        <v/>
      </c>
      <c r="H325" s="49" t="str">
        <f>'Josué Morales'!H469</f>
        <v/>
      </c>
      <c r="I325" s="21" t="str">
        <f>'Josué Morales'!I469</f>
        <v/>
      </c>
      <c r="J325" s="108" t="str">
        <f>'Josué Morales'!J469</f>
        <v/>
      </c>
      <c r="K325" s="12" t="str">
        <f>'Josué Morales'!K469</f>
        <v/>
      </c>
    </row>
    <row r="326" ht="22.5" customHeight="1">
      <c r="A326" s="107" t="str">
        <f>'Josué Morales'!A470</f>
        <v/>
      </c>
      <c r="B326" s="12" t="str">
        <f>'Josué Morales'!B470</f>
        <v/>
      </c>
      <c r="C326" s="12" t="str">
        <f>'Josué Morales'!C470</f>
        <v/>
      </c>
      <c r="D326" s="12" t="str">
        <f>'Josué Morales'!D470</f>
        <v/>
      </c>
      <c r="E326" s="12" t="str">
        <f>'Josué Morales'!E470</f>
        <v/>
      </c>
      <c r="F326" s="108" t="str">
        <f>'Josué Morales'!F470</f>
        <v/>
      </c>
      <c r="G326" s="48" t="str">
        <f>'Josué Morales'!G470</f>
        <v/>
      </c>
      <c r="H326" s="49" t="str">
        <f>'Josué Morales'!H470</f>
        <v/>
      </c>
      <c r="I326" s="21" t="str">
        <f>'Josué Morales'!I470</f>
        <v/>
      </c>
      <c r="J326" s="108" t="str">
        <f>'Josué Morales'!J470</f>
        <v/>
      </c>
      <c r="K326" s="12" t="str">
        <f>'Josué Morales'!K470</f>
        <v/>
      </c>
    </row>
    <row r="327" ht="22.5" customHeight="1">
      <c r="A327" s="107" t="str">
        <f>'Josué Morales'!A471</f>
        <v/>
      </c>
      <c r="B327" s="12" t="str">
        <f>'Josué Morales'!B471</f>
        <v/>
      </c>
      <c r="C327" s="12" t="str">
        <f>'Josué Morales'!C471</f>
        <v/>
      </c>
      <c r="D327" s="12" t="str">
        <f>'Josué Morales'!D471</f>
        <v/>
      </c>
      <c r="E327" s="12" t="str">
        <f>'Josué Morales'!E471</f>
        <v/>
      </c>
      <c r="F327" s="108" t="str">
        <f>'Josué Morales'!F471</f>
        <v/>
      </c>
      <c r="G327" s="48" t="str">
        <f>'Josué Morales'!G471</f>
        <v/>
      </c>
      <c r="H327" s="49" t="str">
        <f>'Josué Morales'!H471</f>
        <v/>
      </c>
      <c r="I327" s="21" t="str">
        <f>'Josué Morales'!I471</f>
        <v/>
      </c>
      <c r="J327" s="108" t="str">
        <f>'Josué Morales'!J471</f>
        <v/>
      </c>
      <c r="K327" s="12" t="str">
        <f>'Josué Morales'!K471</f>
        <v/>
      </c>
    </row>
    <row r="328" ht="22.5" customHeight="1">
      <c r="A328" s="107" t="str">
        <f>'Josué Morales'!A472</f>
        <v/>
      </c>
      <c r="B328" s="12" t="str">
        <f>'Josué Morales'!B472</f>
        <v/>
      </c>
      <c r="C328" s="12" t="str">
        <f>'Josué Morales'!C472</f>
        <v/>
      </c>
      <c r="D328" s="12" t="str">
        <f>'Josué Morales'!D472</f>
        <v/>
      </c>
      <c r="E328" s="12" t="str">
        <f>'Josué Morales'!E472</f>
        <v/>
      </c>
      <c r="F328" s="108" t="str">
        <f>'Josué Morales'!F472</f>
        <v/>
      </c>
      <c r="G328" s="48" t="str">
        <f>'Josué Morales'!G472</f>
        <v/>
      </c>
      <c r="H328" s="49" t="str">
        <f>'Josué Morales'!H472</f>
        <v/>
      </c>
      <c r="I328" s="21" t="str">
        <f>'Josué Morales'!I472</f>
        <v/>
      </c>
      <c r="J328" s="108" t="str">
        <f>'Josué Morales'!J472</f>
        <v/>
      </c>
      <c r="K328" s="12" t="str">
        <f>'Josué Morales'!K472</f>
        <v/>
      </c>
    </row>
    <row r="329" ht="22.5" customHeight="1">
      <c r="A329" s="107" t="str">
        <f>'Josué Morales'!A473</f>
        <v/>
      </c>
      <c r="B329" s="12" t="str">
        <f>'Josué Morales'!B473</f>
        <v/>
      </c>
      <c r="C329" s="12" t="str">
        <f>'Josué Morales'!C473</f>
        <v/>
      </c>
      <c r="D329" s="12" t="str">
        <f>'Josué Morales'!D473</f>
        <v/>
      </c>
      <c r="E329" s="12" t="str">
        <f>'Josué Morales'!E473</f>
        <v/>
      </c>
      <c r="F329" s="108" t="str">
        <f>'Josué Morales'!F473</f>
        <v/>
      </c>
      <c r="G329" s="48" t="str">
        <f>'Josué Morales'!G473</f>
        <v/>
      </c>
      <c r="H329" s="49" t="str">
        <f>'Josué Morales'!H473</f>
        <v/>
      </c>
      <c r="I329" s="21" t="str">
        <f>'Josué Morales'!I473</f>
        <v/>
      </c>
      <c r="J329" s="108" t="str">
        <f>'Josué Morales'!J473</f>
        <v/>
      </c>
      <c r="K329" s="12" t="str">
        <f>'Josué Morales'!K473</f>
        <v/>
      </c>
    </row>
    <row r="330" ht="22.5" customHeight="1">
      <c r="A330" s="107" t="str">
        <f>'Josué Morales'!A474</f>
        <v/>
      </c>
      <c r="B330" s="12" t="str">
        <f>'Josué Morales'!B474</f>
        <v/>
      </c>
      <c r="C330" s="12" t="str">
        <f>'Josué Morales'!C474</f>
        <v/>
      </c>
      <c r="D330" s="12" t="str">
        <f>'Josué Morales'!D474</f>
        <v/>
      </c>
      <c r="E330" s="12" t="str">
        <f>'Josué Morales'!E474</f>
        <v/>
      </c>
      <c r="F330" s="108" t="str">
        <f>'Josué Morales'!F474</f>
        <v/>
      </c>
      <c r="G330" s="48" t="str">
        <f>'Josué Morales'!G474</f>
        <v/>
      </c>
      <c r="H330" s="49" t="str">
        <f>'Josué Morales'!H474</f>
        <v/>
      </c>
      <c r="I330" s="21" t="str">
        <f>'Josué Morales'!I474</f>
        <v/>
      </c>
      <c r="J330" s="108" t="str">
        <f>'Josué Morales'!J474</f>
        <v/>
      </c>
      <c r="K330" s="12" t="str">
        <f>'Josué Morales'!K474</f>
        <v/>
      </c>
    </row>
    <row r="331" ht="22.5" customHeight="1">
      <c r="A331" s="107" t="str">
        <f>'Josué Morales'!A475</f>
        <v/>
      </c>
      <c r="B331" s="12" t="str">
        <f>'Josué Morales'!B475</f>
        <v/>
      </c>
      <c r="C331" s="12" t="str">
        <f>'Josué Morales'!C475</f>
        <v/>
      </c>
      <c r="D331" s="12" t="str">
        <f>'Josué Morales'!D475</f>
        <v/>
      </c>
      <c r="E331" s="12" t="str">
        <f>'Josué Morales'!E475</f>
        <v/>
      </c>
      <c r="F331" s="108" t="str">
        <f>'Josué Morales'!F475</f>
        <v/>
      </c>
      <c r="G331" s="48" t="str">
        <f>'Josué Morales'!G475</f>
        <v/>
      </c>
      <c r="H331" s="49" t="str">
        <f>'Josué Morales'!H475</f>
        <v/>
      </c>
      <c r="I331" s="21" t="str">
        <f>'Josué Morales'!I475</f>
        <v/>
      </c>
      <c r="J331" s="108" t="str">
        <f>'Josué Morales'!J475</f>
        <v/>
      </c>
      <c r="K331" s="12" t="str">
        <f>'Josué Morales'!K475</f>
        <v/>
      </c>
    </row>
    <row r="332" ht="22.5" customHeight="1">
      <c r="A332" s="107" t="str">
        <f>'Josué Morales'!A476</f>
        <v/>
      </c>
      <c r="B332" s="12" t="str">
        <f>'Josué Morales'!B476</f>
        <v/>
      </c>
      <c r="C332" s="12" t="str">
        <f>'Josué Morales'!C476</f>
        <v/>
      </c>
      <c r="D332" s="12" t="str">
        <f>'Josué Morales'!D476</f>
        <v/>
      </c>
      <c r="E332" s="12" t="str">
        <f>'Josué Morales'!E476</f>
        <v/>
      </c>
      <c r="F332" s="108" t="str">
        <f>'Josué Morales'!F476</f>
        <v/>
      </c>
      <c r="G332" s="48" t="str">
        <f>'Josué Morales'!G476</f>
        <v/>
      </c>
      <c r="H332" s="49" t="str">
        <f>'Josué Morales'!H476</f>
        <v/>
      </c>
      <c r="I332" s="21" t="str">
        <f>'Josué Morales'!I476</f>
        <v/>
      </c>
      <c r="J332" s="108" t="str">
        <f>'Josué Morales'!J476</f>
        <v/>
      </c>
      <c r="K332" s="12" t="str">
        <f>'Josué Morales'!K476</f>
        <v/>
      </c>
    </row>
    <row r="333" ht="22.5" customHeight="1">
      <c r="A333" s="107" t="str">
        <f>'Josué Morales'!A477</f>
        <v/>
      </c>
      <c r="B333" s="12" t="str">
        <f>'Josué Morales'!B477</f>
        <v/>
      </c>
      <c r="C333" s="12" t="str">
        <f>'Josué Morales'!C477</f>
        <v/>
      </c>
      <c r="D333" s="12" t="str">
        <f>'Josué Morales'!D477</f>
        <v/>
      </c>
      <c r="E333" s="12" t="str">
        <f>'Josué Morales'!E477</f>
        <v/>
      </c>
      <c r="F333" s="108" t="str">
        <f>'Josué Morales'!F477</f>
        <v/>
      </c>
      <c r="G333" s="48" t="str">
        <f>'Josué Morales'!G477</f>
        <v/>
      </c>
      <c r="H333" s="49" t="str">
        <f>'Josué Morales'!H477</f>
        <v/>
      </c>
      <c r="I333" s="21" t="str">
        <f>'Josué Morales'!I477</f>
        <v/>
      </c>
      <c r="J333" s="108" t="str">
        <f>'Josué Morales'!J477</f>
        <v/>
      </c>
      <c r="K333" s="12" t="str">
        <f>'Josué Morales'!K477</f>
        <v/>
      </c>
    </row>
    <row r="334" ht="22.5" customHeight="1">
      <c r="A334" s="107" t="str">
        <f>'Josué Morales'!A478</f>
        <v/>
      </c>
      <c r="B334" s="12" t="str">
        <f>'Josué Morales'!B478</f>
        <v/>
      </c>
      <c r="C334" s="12" t="str">
        <f>'Josué Morales'!C478</f>
        <v/>
      </c>
      <c r="D334" s="12" t="str">
        <f>'Josué Morales'!D478</f>
        <v/>
      </c>
      <c r="E334" s="12" t="str">
        <f>'Josué Morales'!E478</f>
        <v/>
      </c>
      <c r="F334" s="108" t="str">
        <f>'Josué Morales'!F478</f>
        <v/>
      </c>
      <c r="G334" s="48" t="str">
        <f>'Josué Morales'!G478</f>
        <v/>
      </c>
      <c r="H334" s="49" t="str">
        <f>'Josué Morales'!H478</f>
        <v/>
      </c>
      <c r="I334" s="21" t="str">
        <f>'Josué Morales'!I478</f>
        <v/>
      </c>
      <c r="J334" s="108" t="str">
        <f>'Josué Morales'!J478</f>
        <v/>
      </c>
      <c r="K334" s="12" t="str">
        <f>'Josué Morales'!K478</f>
        <v/>
      </c>
    </row>
    <row r="335" ht="22.5" customHeight="1">
      <c r="A335" s="107" t="str">
        <f>'Josué Morales'!A479</f>
        <v/>
      </c>
      <c r="B335" s="12" t="str">
        <f>'Josué Morales'!B479</f>
        <v/>
      </c>
      <c r="C335" s="12" t="str">
        <f>'Josué Morales'!C479</f>
        <v/>
      </c>
      <c r="D335" s="12" t="str">
        <f>'Josué Morales'!D479</f>
        <v/>
      </c>
      <c r="E335" s="12" t="str">
        <f>'Josué Morales'!E479</f>
        <v/>
      </c>
      <c r="F335" s="108" t="str">
        <f>'Josué Morales'!F479</f>
        <v/>
      </c>
      <c r="G335" s="48" t="str">
        <f>'Josué Morales'!G479</f>
        <v/>
      </c>
      <c r="H335" s="49" t="str">
        <f>'Josué Morales'!H479</f>
        <v/>
      </c>
      <c r="I335" s="21" t="str">
        <f>'Josué Morales'!I479</f>
        <v/>
      </c>
      <c r="J335" s="108" t="str">
        <f>'Josué Morales'!J479</f>
        <v/>
      </c>
      <c r="K335" s="12" t="str">
        <f>'Josué Morales'!K479</f>
        <v/>
      </c>
    </row>
    <row r="336" ht="22.5" customHeight="1">
      <c r="A336" s="107" t="str">
        <f>'Josué Morales'!A480</f>
        <v/>
      </c>
      <c r="B336" s="12" t="str">
        <f>'Josué Morales'!B480</f>
        <v/>
      </c>
      <c r="C336" s="12" t="str">
        <f>'Josué Morales'!C480</f>
        <v/>
      </c>
      <c r="D336" s="12" t="str">
        <f>'Josué Morales'!D480</f>
        <v/>
      </c>
      <c r="E336" s="12" t="str">
        <f>'Josué Morales'!E480</f>
        <v/>
      </c>
      <c r="F336" s="108" t="str">
        <f>'Josué Morales'!F480</f>
        <v/>
      </c>
      <c r="G336" s="48" t="str">
        <f>'Josué Morales'!G480</f>
        <v/>
      </c>
      <c r="H336" s="49" t="str">
        <f>'Josué Morales'!H480</f>
        <v/>
      </c>
      <c r="I336" s="21" t="str">
        <f>'Josué Morales'!I480</f>
        <v/>
      </c>
      <c r="J336" s="108" t="str">
        <f>'Josué Morales'!J480</f>
        <v/>
      </c>
      <c r="K336" s="12" t="str">
        <f>'Josué Morales'!K480</f>
        <v/>
      </c>
    </row>
    <row r="337" ht="22.5" customHeight="1">
      <c r="A337" s="107" t="str">
        <f>'Josué Morales'!A481</f>
        <v/>
      </c>
      <c r="B337" s="12" t="str">
        <f>'Josué Morales'!B481</f>
        <v/>
      </c>
      <c r="C337" s="12" t="str">
        <f>'Josué Morales'!C481</f>
        <v/>
      </c>
      <c r="D337" s="12" t="str">
        <f>'Josué Morales'!D481</f>
        <v/>
      </c>
      <c r="E337" s="12" t="str">
        <f>'Josué Morales'!E481</f>
        <v/>
      </c>
      <c r="F337" s="108" t="str">
        <f>'Josué Morales'!F481</f>
        <v/>
      </c>
      <c r="G337" s="48" t="str">
        <f>'Josué Morales'!G481</f>
        <v/>
      </c>
      <c r="H337" s="49" t="str">
        <f>'Josué Morales'!H481</f>
        <v/>
      </c>
      <c r="I337" s="21" t="str">
        <f>'Josué Morales'!I481</f>
        <v/>
      </c>
      <c r="J337" s="108" t="str">
        <f>'Josué Morales'!J481</f>
        <v/>
      </c>
      <c r="K337" s="12" t="str">
        <f>'Josué Morales'!K481</f>
        <v/>
      </c>
    </row>
    <row r="338" ht="22.5" customHeight="1">
      <c r="A338" s="107" t="str">
        <f>'Josué Morales'!A482</f>
        <v/>
      </c>
      <c r="B338" s="12" t="str">
        <f>'Josué Morales'!B482</f>
        <v/>
      </c>
      <c r="C338" s="12" t="str">
        <f>'Josué Morales'!C482</f>
        <v/>
      </c>
      <c r="D338" s="12" t="str">
        <f>'Josué Morales'!D482</f>
        <v/>
      </c>
      <c r="E338" s="12" t="str">
        <f>'Josué Morales'!E482</f>
        <v/>
      </c>
      <c r="F338" s="108" t="str">
        <f>'Josué Morales'!F482</f>
        <v/>
      </c>
      <c r="G338" s="48" t="str">
        <f>'Josué Morales'!G482</f>
        <v/>
      </c>
      <c r="H338" s="49" t="str">
        <f>'Josué Morales'!H482</f>
        <v/>
      </c>
      <c r="I338" s="21" t="str">
        <f>'Josué Morales'!I482</f>
        <v/>
      </c>
      <c r="J338" s="108" t="str">
        <f>'Josué Morales'!J482</f>
        <v/>
      </c>
      <c r="K338" s="12" t="str">
        <f>'Josué Morales'!K482</f>
        <v/>
      </c>
    </row>
    <row r="339" ht="22.5" customHeight="1">
      <c r="A339" s="107" t="str">
        <f>'Josué Morales'!A483</f>
        <v/>
      </c>
      <c r="B339" s="12" t="str">
        <f>'Josué Morales'!B483</f>
        <v/>
      </c>
      <c r="C339" s="12" t="str">
        <f>'Josué Morales'!C483</f>
        <v/>
      </c>
      <c r="D339" s="12" t="str">
        <f>'Josué Morales'!D483</f>
        <v/>
      </c>
      <c r="E339" s="12" t="str">
        <f>'Josué Morales'!E483</f>
        <v/>
      </c>
      <c r="F339" s="108" t="str">
        <f>'Josué Morales'!F483</f>
        <v/>
      </c>
      <c r="G339" s="48" t="str">
        <f>'Josué Morales'!G483</f>
        <v/>
      </c>
      <c r="H339" s="49" t="str">
        <f>'Josué Morales'!H483</f>
        <v/>
      </c>
      <c r="I339" s="21" t="str">
        <f>'Josué Morales'!I483</f>
        <v/>
      </c>
      <c r="J339" s="108" t="str">
        <f>'Josué Morales'!J483</f>
        <v/>
      </c>
      <c r="K339" s="12" t="str">
        <f>'Josué Morales'!K483</f>
        <v/>
      </c>
    </row>
    <row r="340" ht="22.5" customHeight="1">
      <c r="A340" s="107" t="str">
        <f>'Josué Morales'!A484</f>
        <v/>
      </c>
      <c r="B340" s="12" t="str">
        <f>'Josué Morales'!B484</f>
        <v/>
      </c>
      <c r="C340" s="12" t="str">
        <f>'Josué Morales'!C484</f>
        <v/>
      </c>
      <c r="D340" s="12" t="str">
        <f>'Josué Morales'!D484</f>
        <v/>
      </c>
      <c r="E340" s="12" t="str">
        <f>'Josué Morales'!E484</f>
        <v/>
      </c>
      <c r="F340" s="108" t="str">
        <f>'Josué Morales'!F484</f>
        <v/>
      </c>
      <c r="G340" s="48" t="str">
        <f>'Josué Morales'!G484</f>
        <v/>
      </c>
      <c r="H340" s="49" t="str">
        <f>'Josué Morales'!H484</f>
        <v/>
      </c>
      <c r="I340" s="21" t="str">
        <f>'Josué Morales'!I484</f>
        <v/>
      </c>
      <c r="J340" s="108" t="str">
        <f>'Josué Morales'!J484</f>
        <v/>
      </c>
      <c r="K340" s="12" t="str">
        <f>'Josué Morales'!K484</f>
        <v/>
      </c>
    </row>
    <row r="341" ht="22.5" customHeight="1">
      <c r="A341" s="107" t="str">
        <f>'Josué Morales'!A485</f>
        <v/>
      </c>
      <c r="B341" s="12" t="str">
        <f>'Josué Morales'!B485</f>
        <v/>
      </c>
      <c r="C341" s="12" t="str">
        <f>'Josué Morales'!C485</f>
        <v/>
      </c>
      <c r="D341" s="12" t="str">
        <f>'Josué Morales'!D485</f>
        <v/>
      </c>
      <c r="E341" s="12" t="str">
        <f>'Josué Morales'!E485</f>
        <v/>
      </c>
      <c r="F341" s="108" t="str">
        <f>'Josué Morales'!F485</f>
        <v/>
      </c>
      <c r="G341" s="48" t="str">
        <f>'Josué Morales'!G485</f>
        <v/>
      </c>
      <c r="H341" s="49" t="str">
        <f>'Josué Morales'!H485</f>
        <v/>
      </c>
      <c r="I341" s="21" t="str">
        <f>'Josué Morales'!I485</f>
        <v/>
      </c>
      <c r="J341" s="108" t="str">
        <f>'Josué Morales'!J485</f>
        <v/>
      </c>
      <c r="K341" s="12" t="str">
        <f>'Josué Morales'!K485</f>
        <v/>
      </c>
    </row>
    <row r="342" ht="22.5" customHeight="1">
      <c r="A342" s="107" t="str">
        <f>'Josué Morales'!A486</f>
        <v/>
      </c>
      <c r="B342" s="12" t="str">
        <f>'Josué Morales'!B486</f>
        <v/>
      </c>
      <c r="C342" s="12" t="str">
        <f>'Josué Morales'!C486</f>
        <v/>
      </c>
      <c r="D342" s="12" t="str">
        <f>'Josué Morales'!D486</f>
        <v/>
      </c>
      <c r="E342" s="12" t="str">
        <f>'Josué Morales'!E486</f>
        <v/>
      </c>
      <c r="F342" s="108" t="str">
        <f>'Josué Morales'!F486</f>
        <v/>
      </c>
      <c r="G342" s="48" t="str">
        <f>'Josué Morales'!G486</f>
        <v/>
      </c>
      <c r="H342" s="49" t="str">
        <f>'Josué Morales'!H486</f>
        <v/>
      </c>
      <c r="I342" s="21" t="str">
        <f>'Josué Morales'!I486</f>
        <v/>
      </c>
      <c r="J342" s="108" t="str">
        <f>'Josué Morales'!J486</f>
        <v/>
      </c>
      <c r="K342" s="12" t="str">
        <f>'Josué Morales'!K486</f>
        <v/>
      </c>
    </row>
    <row r="343" ht="22.5" customHeight="1">
      <c r="A343" s="107" t="str">
        <f>'Josué Morales'!A487</f>
        <v/>
      </c>
      <c r="B343" s="12" t="str">
        <f>'Josué Morales'!B487</f>
        <v/>
      </c>
      <c r="C343" s="12" t="str">
        <f>'Josué Morales'!C487</f>
        <v/>
      </c>
      <c r="D343" s="12" t="str">
        <f>'Josué Morales'!D487</f>
        <v/>
      </c>
      <c r="E343" s="12" t="str">
        <f>'Josué Morales'!E487</f>
        <v/>
      </c>
      <c r="F343" s="108" t="str">
        <f>'Josué Morales'!F487</f>
        <v/>
      </c>
      <c r="G343" s="48" t="str">
        <f>'Josué Morales'!G487</f>
        <v/>
      </c>
      <c r="H343" s="49" t="str">
        <f>'Josué Morales'!H487</f>
        <v/>
      </c>
      <c r="I343" s="21" t="str">
        <f>'Josué Morales'!I487</f>
        <v/>
      </c>
      <c r="J343" s="108" t="str">
        <f>'Josué Morales'!J487</f>
        <v/>
      </c>
      <c r="K343" s="12" t="str">
        <f>'Josué Morales'!K487</f>
        <v/>
      </c>
    </row>
    <row r="344" ht="22.5" customHeight="1">
      <c r="A344" s="107" t="str">
        <f>'Josué Morales'!A488</f>
        <v/>
      </c>
      <c r="B344" s="12" t="str">
        <f>'Josué Morales'!B488</f>
        <v/>
      </c>
      <c r="C344" s="12" t="str">
        <f>'Josué Morales'!C488</f>
        <v/>
      </c>
      <c r="D344" s="12" t="str">
        <f>'Josué Morales'!D488</f>
        <v/>
      </c>
      <c r="E344" s="12" t="str">
        <f>'Josué Morales'!E488</f>
        <v/>
      </c>
      <c r="F344" s="108" t="str">
        <f>'Josué Morales'!F488</f>
        <v/>
      </c>
      <c r="G344" s="48" t="str">
        <f>'Josué Morales'!G488</f>
        <v/>
      </c>
      <c r="H344" s="49" t="str">
        <f>'Josué Morales'!H488</f>
        <v/>
      </c>
      <c r="I344" s="21" t="str">
        <f>'Josué Morales'!I488</f>
        <v/>
      </c>
      <c r="J344" s="108" t="str">
        <f>'Josué Morales'!J488</f>
        <v/>
      </c>
      <c r="K344" s="12" t="str">
        <f>'Josué Morales'!K488</f>
        <v/>
      </c>
    </row>
    <row r="345" ht="22.5" customHeight="1">
      <c r="A345" s="107" t="str">
        <f>'Josué Morales'!A489</f>
        <v/>
      </c>
      <c r="B345" s="12" t="str">
        <f>'Josué Morales'!B489</f>
        <v/>
      </c>
      <c r="C345" s="12" t="str">
        <f>'Josué Morales'!C489</f>
        <v/>
      </c>
      <c r="D345" s="12" t="str">
        <f>'Josué Morales'!D489</f>
        <v/>
      </c>
      <c r="E345" s="12" t="str">
        <f>'Josué Morales'!E489</f>
        <v/>
      </c>
      <c r="F345" s="108" t="str">
        <f>'Josué Morales'!F489</f>
        <v/>
      </c>
      <c r="G345" s="48" t="str">
        <f>'Josué Morales'!G489</f>
        <v/>
      </c>
      <c r="H345" s="49" t="str">
        <f>'Josué Morales'!H489</f>
        <v/>
      </c>
      <c r="I345" s="21" t="str">
        <f>'Josué Morales'!I489</f>
        <v/>
      </c>
      <c r="J345" s="108" t="str">
        <f>'Josué Morales'!J489</f>
        <v/>
      </c>
      <c r="K345" s="12" t="str">
        <f>'Josué Morales'!K489</f>
        <v/>
      </c>
    </row>
    <row r="346" ht="22.5" customHeight="1">
      <c r="A346" s="107" t="str">
        <f>'Josué Morales'!A490</f>
        <v/>
      </c>
      <c r="B346" s="12" t="str">
        <f>'Josué Morales'!B490</f>
        <v/>
      </c>
      <c r="C346" s="12" t="str">
        <f>'Josué Morales'!C490</f>
        <v/>
      </c>
      <c r="D346" s="12" t="str">
        <f>'Josué Morales'!D490</f>
        <v/>
      </c>
      <c r="E346" s="12" t="str">
        <f>'Josué Morales'!E490</f>
        <v/>
      </c>
      <c r="F346" s="108" t="str">
        <f>'Josué Morales'!F490</f>
        <v/>
      </c>
      <c r="G346" s="48" t="str">
        <f>'Josué Morales'!G490</f>
        <v/>
      </c>
      <c r="H346" s="49" t="str">
        <f>'Josué Morales'!H490</f>
        <v/>
      </c>
      <c r="I346" s="21" t="str">
        <f>'Josué Morales'!I490</f>
        <v/>
      </c>
      <c r="J346" s="108" t="str">
        <f>'Josué Morales'!J490</f>
        <v/>
      </c>
      <c r="K346" s="12" t="str">
        <f>'Josué Morales'!K490</f>
        <v/>
      </c>
    </row>
    <row r="347" ht="22.5" customHeight="1">
      <c r="A347" s="107" t="str">
        <f>'Josué Morales'!A491</f>
        <v/>
      </c>
      <c r="B347" s="12" t="str">
        <f>'Josué Morales'!B491</f>
        <v/>
      </c>
      <c r="C347" s="12" t="str">
        <f>'Josué Morales'!C491</f>
        <v/>
      </c>
      <c r="D347" s="12" t="str">
        <f>'Josué Morales'!D491</f>
        <v/>
      </c>
      <c r="E347" s="12" t="str">
        <f>'Josué Morales'!E491</f>
        <v/>
      </c>
      <c r="F347" s="108" t="str">
        <f>'Josué Morales'!F491</f>
        <v/>
      </c>
      <c r="G347" s="48" t="str">
        <f>'Josué Morales'!G491</f>
        <v/>
      </c>
      <c r="H347" s="49" t="str">
        <f>'Josué Morales'!H491</f>
        <v/>
      </c>
      <c r="I347" s="21" t="str">
        <f>'Josué Morales'!I491</f>
        <v/>
      </c>
      <c r="J347" s="108" t="str">
        <f>'Josué Morales'!J491</f>
        <v/>
      </c>
      <c r="K347" s="12" t="str">
        <f>'Josué Morales'!K491</f>
        <v/>
      </c>
    </row>
    <row r="348" ht="22.5" customHeight="1">
      <c r="A348" s="107" t="str">
        <f>'Josué Morales'!A492</f>
        <v/>
      </c>
      <c r="B348" s="12" t="str">
        <f>'Josué Morales'!B492</f>
        <v/>
      </c>
      <c r="C348" s="12" t="str">
        <f>'Josué Morales'!C492</f>
        <v/>
      </c>
      <c r="D348" s="12" t="str">
        <f>'Josué Morales'!D492</f>
        <v/>
      </c>
      <c r="E348" s="12" t="str">
        <f>'Josué Morales'!E492</f>
        <v/>
      </c>
      <c r="F348" s="108" t="str">
        <f>'Josué Morales'!F492</f>
        <v/>
      </c>
      <c r="G348" s="48" t="str">
        <f>'Josué Morales'!G492</f>
        <v/>
      </c>
      <c r="H348" s="49" t="str">
        <f>'Josué Morales'!H492</f>
        <v/>
      </c>
      <c r="I348" s="21" t="str">
        <f>'Josué Morales'!I492</f>
        <v/>
      </c>
      <c r="J348" s="108" t="str">
        <f>'Josué Morales'!J492</f>
        <v/>
      </c>
      <c r="K348" s="12" t="str">
        <f>'Josué Morales'!K492</f>
        <v/>
      </c>
    </row>
    <row r="349" ht="22.5" customHeight="1">
      <c r="A349" s="107" t="str">
        <f>'Josué Morales'!A493</f>
        <v/>
      </c>
      <c r="B349" s="12" t="str">
        <f>'Josué Morales'!B493</f>
        <v/>
      </c>
      <c r="C349" s="12" t="str">
        <f>'Josué Morales'!C493</f>
        <v/>
      </c>
      <c r="D349" s="12" t="str">
        <f>'Josué Morales'!D493</f>
        <v/>
      </c>
      <c r="E349" s="12" t="str">
        <f>'Josué Morales'!E493</f>
        <v/>
      </c>
      <c r="F349" s="108" t="str">
        <f>'Josué Morales'!F493</f>
        <v/>
      </c>
      <c r="G349" s="48" t="str">
        <f>'Josué Morales'!G493</f>
        <v/>
      </c>
      <c r="H349" s="49" t="str">
        <f>'Josué Morales'!H493</f>
        <v/>
      </c>
      <c r="I349" s="21" t="str">
        <f>'Josué Morales'!I493</f>
        <v/>
      </c>
      <c r="J349" s="108" t="str">
        <f>'Josué Morales'!J493</f>
        <v/>
      </c>
      <c r="K349" s="12" t="str">
        <f>'Josué Morales'!K493</f>
        <v/>
      </c>
    </row>
    <row r="350" ht="22.5" customHeight="1">
      <c r="A350" s="107" t="str">
        <f>'Josué Morales'!A494</f>
        <v/>
      </c>
      <c r="B350" s="12" t="str">
        <f>'Josué Morales'!B494</f>
        <v/>
      </c>
      <c r="C350" s="12" t="str">
        <f>'Josué Morales'!C494</f>
        <v/>
      </c>
      <c r="D350" s="12" t="str">
        <f>'Josué Morales'!D494</f>
        <v/>
      </c>
      <c r="E350" s="12" t="str">
        <f>'Josué Morales'!E494</f>
        <v/>
      </c>
      <c r="F350" s="108" t="str">
        <f>'Josué Morales'!F494</f>
        <v/>
      </c>
      <c r="G350" s="48" t="str">
        <f>'Josué Morales'!G494</f>
        <v/>
      </c>
      <c r="H350" s="49" t="str">
        <f>'Josué Morales'!H494</f>
        <v/>
      </c>
      <c r="I350" s="21" t="str">
        <f>'Josué Morales'!I494</f>
        <v/>
      </c>
      <c r="J350" s="108" t="str">
        <f>'Josué Morales'!J494</f>
        <v/>
      </c>
      <c r="K350" s="12" t="str">
        <f>'Josué Morales'!K494</f>
        <v/>
      </c>
    </row>
    <row r="351" ht="22.5" customHeight="1">
      <c r="A351" s="107" t="str">
        <f>'Josué Morales'!A495</f>
        <v/>
      </c>
      <c r="B351" s="12" t="str">
        <f>'Josué Morales'!B495</f>
        <v/>
      </c>
      <c r="C351" s="12" t="str">
        <f>'Josué Morales'!C495</f>
        <v/>
      </c>
      <c r="D351" s="12" t="str">
        <f>'Josué Morales'!D495</f>
        <v/>
      </c>
      <c r="E351" s="12" t="str">
        <f>'Josué Morales'!E495</f>
        <v/>
      </c>
      <c r="F351" s="108" t="str">
        <f>'Josué Morales'!F495</f>
        <v/>
      </c>
      <c r="G351" s="48" t="str">
        <f>'Josué Morales'!G495</f>
        <v/>
      </c>
      <c r="H351" s="49" t="str">
        <f>'Josué Morales'!H495</f>
        <v/>
      </c>
      <c r="I351" s="21" t="str">
        <f>'Josué Morales'!I495</f>
        <v/>
      </c>
      <c r="J351" s="108" t="str">
        <f>'Josué Morales'!J495</f>
        <v/>
      </c>
      <c r="K351" s="12" t="str">
        <f>'Josué Morales'!K495</f>
        <v/>
      </c>
    </row>
    <row r="352" ht="22.5" customHeight="1">
      <c r="A352" s="107" t="str">
        <f>'Josué Morales'!A496</f>
        <v/>
      </c>
      <c r="B352" s="12" t="str">
        <f>'Josué Morales'!B496</f>
        <v/>
      </c>
      <c r="C352" s="12" t="str">
        <f>'Josué Morales'!C496</f>
        <v/>
      </c>
      <c r="D352" s="12" t="str">
        <f>'Josué Morales'!D496</f>
        <v/>
      </c>
      <c r="E352" s="12" t="str">
        <f>'Josué Morales'!E496</f>
        <v/>
      </c>
      <c r="F352" s="108" t="str">
        <f>'Josué Morales'!F496</f>
        <v/>
      </c>
      <c r="G352" s="48" t="str">
        <f>'Josué Morales'!G496</f>
        <v/>
      </c>
      <c r="H352" s="49" t="str">
        <f>'Josué Morales'!H496</f>
        <v/>
      </c>
      <c r="I352" s="21" t="str">
        <f>'Josué Morales'!I496</f>
        <v/>
      </c>
      <c r="J352" s="108" t="str">
        <f>'Josué Morales'!J496</f>
        <v/>
      </c>
      <c r="K352" s="12" t="str">
        <f>'Josué Morales'!K496</f>
        <v/>
      </c>
    </row>
    <row r="353" ht="22.5" customHeight="1">
      <c r="A353" s="107" t="str">
        <f>'Josué Morales'!A497</f>
        <v/>
      </c>
      <c r="B353" s="12" t="str">
        <f>'Josué Morales'!B497</f>
        <v/>
      </c>
      <c r="C353" s="12" t="str">
        <f>'Josué Morales'!C497</f>
        <v/>
      </c>
      <c r="D353" s="12" t="str">
        <f>'Josué Morales'!D497</f>
        <v/>
      </c>
      <c r="E353" s="12" t="str">
        <f>'Josué Morales'!E497</f>
        <v/>
      </c>
      <c r="F353" s="108" t="str">
        <f>'Josué Morales'!F497</f>
        <v/>
      </c>
      <c r="G353" s="48" t="str">
        <f>'Josué Morales'!G497</f>
        <v/>
      </c>
      <c r="H353" s="49" t="str">
        <f>'Josué Morales'!H497</f>
        <v/>
      </c>
      <c r="I353" s="21" t="str">
        <f>'Josué Morales'!I497</f>
        <v/>
      </c>
      <c r="J353" s="108" t="str">
        <f>'Josué Morales'!J497</f>
        <v/>
      </c>
      <c r="K353" s="12" t="str">
        <f>'Josué Morales'!K497</f>
        <v/>
      </c>
    </row>
    <row r="354" ht="22.5" customHeight="1">
      <c r="A354" s="107" t="str">
        <f>'Josué Morales'!A498</f>
        <v/>
      </c>
      <c r="B354" s="12" t="str">
        <f>'Josué Morales'!B498</f>
        <v/>
      </c>
      <c r="C354" s="12" t="str">
        <f>'Josué Morales'!C498</f>
        <v/>
      </c>
      <c r="D354" s="12" t="str">
        <f>'Josué Morales'!D498</f>
        <v/>
      </c>
      <c r="E354" s="12" t="str">
        <f>'Josué Morales'!E498</f>
        <v/>
      </c>
      <c r="F354" s="108" t="str">
        <f>'Josué Morales'!F498</f>
        <v/>
      </c>
      <c r="G354" s="48" t="str">
        <f>'Josué Morales'!G498</f>
        <v/>
      </c>
      <c r="H354" s="49" t="str">
        <f>'Josué Morales'!H498</f>
        <v/>
      </c>
      <c r="I354" s="21" t="str">
        <f>'Josué Morales'!I498</f>
        <v/>
      </c>
      <c r="J354" s="108" t="str">
        <f>'Josué Morales'!J498</f>
        <v/>
      </c>
      <c r="K354" s="12" t="str">
        <f>'Josué Morales'!K498</f>
        <v/>
      </c>
    </row>
    <row r="355" ht="22.5" customHeight="1">
      <c r="A355" s="107" t="str">
        <f>'Josué Morales'!A499</f>
        <v/>
      </c>
      <c r="B355" s="12" t="str">
        <f>'Josué Morales'!B499</f>
        <v/>
      </c>
      <c r="C355" s="12" t="str">
        <f>'Josué Morales'!C499</f>
        <v/>
      </c>
      <c r="D355" s="12" t="str">
        <f>'Josué Morales'!D499</f>
        <v/>
      </c>
      <c r="E355" s="12" t="str">
        <f>'Josué Morales'!E499</f>
        <v/>
      </c>
      <c r="F355" s="108" t="str">
        <f>'Josué Morales'!F499</f>
        <v/>
      </c>
      <c r="G355" s="48" t="str">
        <f>'Josué Morales'!G499</f>
        <v/>
      </c>
      <c r="H355" s="49" t="str">
        <f>'Josué Morales'!H499</f>
        <v/>
      </c>
      <c r="I355" s="21" t="str">
        <f>'Josué Morales'!I499</f>
        <v/>
      </c>
      <c r="J355" s="108" t="str">
        <f>'Josué Morales'!J499</f>
        <v/>
      </c>
      <c r="K355" s="12" t="str">
        <f>'Josué Morales'!K499</f>
        <v/>
      </c>
    </row>
    <row r="356" ht="22.5" customHeight="1">
      <c r="A356" s="107" t="str">
        <f>'Josué Morales'!A500</f>
        <v/>
      </c>
      <c r="B356" s="12" t="str">
        <f>'Josué Morales'!B500</f>
        <v/>
      </c>
      <c r="C356" s="12" t="str">
        <f>'Josué Morales'!C500</f>
        <v/>
      </c>
      <c r="D356" s="12" t="str">
        <f>'Josué Morales'!D500</f>
        <v/>
      </c>
      <c r="E356" s="12" t="str">
        <f>'Josué Morales'!E500</f>
        <v/>
      </c>
      <c r="F356" s="108" t="str">
        <f>'Josué Morales'!F500</f>
        <v/>
      </c>
      <c r="G356" s="48" t="str">
        <f>'Josué Morales'!G500</f>
        <v/>
      </c>
      <c r="H356" s="49" t="str">
        <f>'Josué Morales'!H500</f>
        <v/>
      </c>
      <c r="I356" s="21" t="str">
        <f>'Josué Morales'!I500</f>
        <v/>
      </c>
      <c r="J356" s="108" t="str">
        <f>'Josué Morales'!J500</f>
        <v/>
      </c>
      <c r="K356" s="12" t="str">
        <f>'Josué Morales'!K500</f>
        <v/>
      </c>
    </row>
    <row r="357" ht="22.5" customHeight="1">
      <c r="A357" s="107" t="str">
        <f>'Josué Morales'!A501</f>
        <v/>
      </c>
      <c r="B357" s="12" t="str">
        <f>'Josué Morales'!B501</f>
        <v/>
      </c>
      <c r="C357" s="12" t="str">
        <f>'Josué Morales'!C501</f>
        <v/>
      </c>
      <c r="D357" s="12" t="str">
        <f>'Josué Morales'!D501</f>
        <v/>
      </c>
      <c r="E357" s="12" t="str">
        <f>'Josué Morales'!E501</f>
        <v/>
      </c>
      <c r="F357" s="108" t="str">
        <f>'Josué Morales'!F501</f>
        <v/>
      </c>
      <c r="G357" s="48" t="str">
        <f>'Josué Morales'!G501</f>
        <v/>
      </c>
      <c r="H357" s="49" t="str">
        <f>'Josué Morales'!H501</f>
        <v/>
      </c>
      <c r="I357" s="21" t="str">
        <f>'Josué Morales'!I501</f>
        <v/>
      </c>
      <c r="J357" s="108" t="str">
        <f>'Josué Morales'!J501</f>
        <v/>
      </c>
      <c r="K357" s="12" t="str">
        <f>'Josué Morales'!K501</f>
        <v/>
      </c>
    </row>
    <row r="358" ht="22.5" customHeight="1">
      <c r="A358" s="107" t="str">
        <f>'Josué Morales'!A502</f>
        <v/>
      </c>
      <c r="B358" s="12" t="str">
        <f>'Josué Morales'!B502</f>
        <v/>
      </c>
      <c r="C358" s="12" t="str">
        <f>'Josué Morales'!C502</f>
        <v/>
      </c>
      <c r="D358" s="12" t="str">
        <f>'Josué Morales'!D502</f>
        <v/>
      </c>
      <c r="E358" s="12" t="str">
        <f>'Josué Morales'!E502</f>
        <v/>
      </c>
      <c r="F358" s="108" t="str">
        <f>'Josué Morales'!F502</f>
        <v/>
      </c>
      <c r="G358" s="48" t="str">
        <f>'Josué Morales'!G502</f>
        <v/>
      </c>
      <c r="H358" s="49" t="str">
        <f>'Josué Morales'!H502</f>
        <v/>
      </c>
      <c r="I358" s="21" t="str">
        <f>'Josué Morales'!I502</f>
        <v/>
      </c>
      <c r="J358" s="108" t="str">
        <f>'Josué Morales'!J502</f>
        <v/>
      </c>
      <c r="K358" s="12" t="str">
        <f>'Josué Morales'!K502</f>
        <v/>
      </c>
    </row>
    <row r="359" ht="22.5" customHeight="1">
      <c r="A359" s="107" t="str">
        <f>'Josué Morales'!A503</f>
        <v/>
      </c>
      <c r="B359" s="12" t="str">
        <f>'Josué Morales'!B503</f>
        <v/>
      </c>
      <c r="C359" s="12" t="str">
        <f>'Josué Morales'!C503</f>
        <v/>
      </c>
      <c r="D359" s="12" t="str">
        <f>'Josué Morales'!D503</f>
        <v/>
      </c>
      <c r="E359" s="12" t="str">
        <f>'Josué Morales'!E503</f>
        <v/>
      </c>
      <c r="F359" s="108" t="str">
        <f>'Josué Morales'!F503</f>
        <v/>
      </c>
      <c r="G359" s="48" t="str">
        <f>'Josué Morales'!G503</f>
        <v/>
      </c>
      <c r="H359" s="49" t="str">
        <f>'Josué Morales'!H503</f>
        <v/>
      </c>
      <c r="I359" s="21" t="str">
        <f>'Josué Morales'!I503</f>
        <v/>
      </c>
      <c r="J359" s="108" t="str">
        <f>'Josué Morales'!J503</f>
        <v/>
      </c>
      <c r="K359" s="12" t="str">
        <f>'Josué Morales'!K503</f>
        <v/>
      </c>
    </row>
    <row r="360" ht="22.5" customHeight="1">
      <c r="A360" s="107" t="str">
        <f>'Josué Morales'!A504</f>
        <v/>
      </c>
      <c r="B360" s="12" t="str">
        <f>'Josué Morales'!B504</f>
        <v/>
      </c>
      <c r="C360" s="12" t="str">
        <f>'Josué Morales'!C504</f>
        <v/>
      </c>
      <c r="D360" s="12" t="str">
        <f>'Josué Morales'!D504</f>
        <v/>
      </c>
      <c r="E360" s="12" t="str">
        <f>'Josué Morales'!E504</f>
        <v/>
      </c>
      <c r="F360" s="108" t="str">
        <f>'Josué Morales'!F504</f>
        <v/>
      </c>
      <c r="G360" s="48" t="str">
        <f>'Josué Morales'!G504</f>
        <v/>
      </c>
      <c r="H360" s="49" t="str">
        <f>'Josué Morales'!H504</f>
        <v/>
      </c>
      <c r="I360" s="21" t="str">
        <f>'Josué Morales'!I504</f>
        <v/>
      </c>
      <c r="J360" s="108" t="str">
        <f>'Josué Morales'!J504</f>
        <v/>
      </c>
      <c r="K360" s="12" t="str">
        <f>'Josué Morales'!K504</f>
        <v/>
      </c>
    </row>
    <row r="361" ht="22.5" customHeight="1">
      <c r="A361" s="107" t="str">
        <f>'Josué Morales'!A505</f>
        <v/>
      </c>
      <c r="B361" s="12" t="str">
        <f>'Josué Morales'!B505</f>
        <v/>
      </c>
      <c r="C361" s="12" t="str">
        <f>'Josué Morales'!C505</f>
        <v/>
      </c>
      <c r="D361" s="12" t="str">
        <f>'Josué Morales'!D505</f>
        <v/>
      </c>
      <c r="E361" s="12" t="str">
        <f>'Josué Morales'!E505</f>
        <v/>
      </c>
      <c r="F361" s="108" t="str">
        <f>'Josué Morales'!F505</f>
        <v/>
      </c>
      <c r="G361" s="48" t="str">
        <f>'Josué Morales'!G505</f>
        <v/>
      </c>
      <c r="H361" s="49" t="str">
        <f>'Josué Morales'!H505</f>
        <v/>
      </c>
      <c r="I361" s="21" t="str">
        <f>'Josué Morales'!I505</f>
        <v/>
      </c>
      <c r="J361" s="108" t="str">
        <f>'Josué Morales'!J505</f>
        <v/>
      </c>
      <c r="K361" s="12" t="str">
        <f>'Josué Morales'!K505</f>
        <v/>
      </c>
    </row>
    <row r="362" ht="22.5" customHeight="1">
      <c r="A362" s="107" t="str">
        <f>'Josué Morales'!A506</f>
        <v/>
      </c>
      <c r="B362" s="12" t="str">
        <f>'Josué Morales'!B506</f>
        <v/>
      </c>
      <c r="C362" s="12" t="str">
        <f>'Josué Morales'!C506</f>
        <v/>
      </c>
      <c r="D362" s="12" t="str">
        <f>'Josué Morales'!D506</f>
        <v/>
      </c>
      <c r="E362" s="12" t="str">
        <f>'Josué Morales'!E506</f>
        <v/>
      </c>
      <c r="F362" s="108" t="str">
        <f>'Josué Morales'!F506</f>
        <v/>
      </c>
      <c r="G362" s="48" t="str">
        <f>'Josué Morales'!G506</f>
        <v/>
      </c>
      <c r="H362" s="49" t="str">
        <f>'Josué Morales'!H506</f>
        <v/>
      </c>
      <c r="I362" s="21" t="str">
        <f>'Josué Morales'!I506</f>
        <v/>
      </c>
      <c r="J362" s="108" t="str">
        <f>'Josué Morales'!J506</f>
        <v/>
      </c>
      <c r="K362" s="12" t="str">
        <f>'Josué Morales'!K506</f>
        <v/>
      </c>
    </row>
    <row r="363" ht="22.5" customHeight="1">
      <c r="A363" s="107" t="str">
        <f>'Josué Morales'!A507</f>
        <v/>
      </c>
      <c r="B363" s="12" t="str">
        <f>'Josué Morales'!B507</f>
        <v/>
      </c>
      <c r="C363" s="12" t="str">
        <f>'Josué Morales'!C507</f>
        <v/>
      </c>
      <c r="D363" s="12" t="str">
        <f>'Josué Morales'!D507</f>
        <v/>
      </c>
      <c r="E363" s="12" t="str">
        <f>'Josué Morales'!E507</f>
        <v/>
      </c>
      <c r="F363" s="108" t="str">
        <f>'Josué Morales'!F507</f>
        <v/>
      </c>
      <c r="G363" s="48" t="str">
        <f>'Josué Morales'!G507</f>
        <v/>
      </c>
      <c r="H363" s="49" t="str">
        <f>'Josué Morales'!H507</f>
        <v/>
      </c>
      <c r="I363" s="21" t="str">
        <f>'Josué Morales'!I507</f>
        <v/>
      </c>
      <c r="J363" s="108" t="str">
        <f>'Josué Morales'!J507</f>
        <v/>
      </c>
      <c r="K363" s="12" t="str">
        <f>'Josué Morales'!K507</f>
        <v/>
      </c>
    </row>
    <row r="364" ht="22.5" customHeight="1">
      <c r="A364" s="107" t="str">
        <f>'Josué Morales'!A508</f>
        <v/>
      </c>
      <c r="B364" s="12" t="str">
        <f>'Josué Morales'!B508</f>
        <v/>
      </c>
      <c r="C364" s="12" t="str">
        <f>'Josué Morales'!C508</f>
        <v/>
      </c>
      <c r="D364" s="12" t="str">
        <f>'Josué Morales'!D508</f>
        <v/>
      </c>
      <c r="E364" s="12" t="str">
        <f>'Josué Morales'!E508</f>
        <v/>
      </c>
      <c r="F364" s="108" t="str">
        <f>'Josué Morales'!F508</f>
        <v/>
      </c>
      <c r="G364" s="48" t="str">
        <f>'Josué Morales'!G508</f>
        <v/>
      </c>
      <c r="H364" s="49" t="str">
        <f>'Josué Morales'!H508</f>
        <v/>
      </c>
      <c r="I364" s="21" t="str">
        <f>'Josué Morales'!I508</f>
        <v/>
      </c>
      <c r="J364" s="108" t="str">
        <f>'Josué Morales'!J508</f>
        <v/>
      </c>
      <c r="K364" s="12" t="str">
        <f>'Josué Morales'!K508</f>
        <v/>
      </c>
    </row>
    <row r="365" ht="22.5" customHeight="1">
      <c r="A365" s="107" t="str">
        <f>'Josué Morales'!A509</f>
        <v/>
      </c>
      <c r="B365" s="12" t="str">
        <f>'Josué Morales'!B509</f>
        <v/>
      </c>
      <c r="C365" s="12" t="str">
        <f>'Josué Morales'!C509</f>
        <v/>
      </c>
      <c r="D365" s="12" t="str">
        <f>'Josué Morales'!D509</f>
        <v/>
      </c>
      <c r="E365" s="12" t="str">
        <f>'Josué Morales'!E509</f>
        <v/>
      </c>
      <c r="F365" s="108" t="str">
        <f>'Josué Morales'!F509</f>
        <v/>
      </c>
      <c r="G365" s="48" t="str">
        <f>'Josué Morales'!G509</f>
        <v/>
      </c>
      <c r="H365" s="49" t="str">
        <f>'Josué Morales'!H509</f>
        <v/>
      </c>
      <c r="I365" s="21" t="str">
        <f>'Josué Morales'!I509</f>
        <v/>
      </c>
      <c r="J365" s="108" t="str">
        <f>'Josué Morales'!J509</f>
        <v/>
      </c>
      <c r="K365" s="12" t="str">
        <f>'Josué Morales'!K509</f>
        <v/>
      </c>
    </row>
    <row r="366" ht="22.5" customHeight="1">
      <c r="A366" s="107" t="str">
        <f>'Josué Morales'!A510</f>
        <v/>
      </c>
      <c r="B366" s="12" t="str">
        <f>'Josué Morales'!B510</f>
        <v/>
      </c>
      <c r="C366" s="12" t="str">
        <f>'Josué Morales'!C510</f>
        <v/>
      </c>
      <c r="D366" s="12" t="str">
        <f>'Josué Morales'!D510</f>
        <v/>
      </c>
      <c r="E366" s="12" t="str">
        <f>'Josué Morales'!E510</f>
        <v/>
      </c>
      <c r="F366" s="108" t="str">
        <f>'Josué Morales'!F510</f>
        <v/>
      </c>
      <c r="G366" s="48" t="str">
        <f>'Josué Morales'!G510</f>
        <v/>
      </c>
      <c r="H366" s="49" t="str">
        <f>'Josué Morales'!H510</f>
        <v/>
      </c>
      <c r="I366" s="21" t="str">
        <f>'Josué Morales'!I510</f>
        <v/>
      </c>
      <c r="J366" s="108" t="str">
        <f>'Josué Morales'!J510</f>
        <v/>
      </c>
      <c r="K366" s="12" t="str">
        <f>'Josué Morales'!K510</f>
        <v/>
      </c>
    </row>
    <row r="367" ht="22.5" customHeight="1">
      <c r="A367" s="107" t="str">
        <f>'Josué Morales'!A511</f>
        <v/>
      </c>
      <c r="B367" s="12" t="str">
        <f>'Josué Morales'!B511</f>
        <v/>
      </c>
      <c r="C367" s="12" t="str">
        <f>'Josué Morales'!C511</f>
        <v/>
      </c>
      <c r="D367" s="12" t="str">
        <f>'Josué Morales'!D511</f>
        <v/>
      </c>
      <c r="E367" s="12" t="str">
        <f>'Josué Morales'!E511</f>
        <v/>
      </c>
      <c r="F367" s="108" t="str">
        <f>'Josué Morales'!F511</f>
        <v/>
      </c>
      <c r="G367" s="48" t="str">
        <f>'Josué Morales'!G511</f>
        <v/>
      </c>
      <c r="H367" s="49" t="str">
        <f>'Josué Morales'!H511</f>
        <v/>
      </c>
      <c r="I367" s="21" t="str">
        <f>'Josué Morales'!I511</f>
        <v/>
      </c>
      <c r="J367" s="108" t="str">
        <f>'Josué Morales'!J511</f>
        <v/>
      </c>
      <c r="K367" s="12" t="str">
        <f>'Josué Morales'!K511</f>
        <v/>
      </c>
    </row>
    <row r="368" ht="22.5" customHeight="1">
      <c r="A368" s="107" t="str">
        <f>'Josué Morales'!A512</f>
        <v/>
      </c>
      <c r="B368" s="12" t="str">
        <f>'Josué Morales'!B512</f>
        <v/>
      </c>
      <c r="C368" s="12" t="str">
        <f>'Josué Morales'!C512</f>
        <v/>
      </c>
      <c r="D368" s="12" t="str">
        <f>'Josué Morales'!D512</f>
        <v/>
      </c>
      <c r="E368" s="12" t="str">
        <f>'Josué Morales'!E512</f>
        <v/>
      </c>
      <c r="F368" s="108" t="str">
        <f>'Josué Morales'!F512</f>
        <v/>
      </c>
      <c r="G368" s="48" t="str">
        <f>'Josué Morales'!G512</f>
        <v/>
      </c>
      <c r="H368" s="49" t="str">
        <f>'Josué Morales'!H512</f>
        <v/>
      </c>
      <c r="I368" s="21" t="str">
        <f>'Josué Morales'!I512</f>
        <v/>
      </c>
      <c r="J368" s="108" t="str">
        <f>'Josué Morales'!J512</f>
        <v/>
      </c>
      <c r="K368" s="12" t="str">
        <f>'Josué Morales'!K512</f>
        <v/>
      </c>
    </row>
    <row r="369" ht="22.5" customHeight="1">
      <c r="A369" s="107" t="str">
        <f>'Josué Morales'!A513</f>
        <v/>
      </c>
      <c r="B369" s="12" t="str">
        <f>'Josué Morales'!B513</f>
        <v/>
      </c>
      <c r="C369" s="12" t="str">
        <f>'Josué Morales'!C513</f>
        <v/>
      </c>
      <c r="D369" s="12" t="str">
        <f>'Josué Morales'!D513</f>
        <v/>
      </c>
      <c r="E369" s="12" t="str">
        <f>'Josué Morales'!E513</f>
        <v/>
      </c>
      <c r="F369" s="108" t="str">
        <f>'Josué Morales'!F513</f>
        <v/>
      </c>
      <c r="G369" s="48" t="str">
        <f>'Josué Morales'!G513</f>
        <v/>
      </c>
      <c r="H369" s="49" t="str">
        <f>'Josué Morales'!H513</f>
        <v/>
      </c>
      <c r="I369" s="21" t="str">
        <f>'Josué Morales'!I513</f>
        <v/>
      </c>
      <c r="J369" s="108" t="str">
        <f>'Josué Morales'!J513</f>
        <v/>
      </c>
      <c r="K369" s="12" t="str">
        <f>'Josué Morales'!K513</f>
        <v/>
      </c>
    </row>
    <row r="370" ht="22.5" customHeight="1">
      <c r="A370" s="107" t="str">
        <f>'Josué Morales'!A514</f>
        <v/>
      </c>
      <c r="B370" s="12" t="str">
        <f>'Josué Morales'!B514</f>
        <v/>
      </c>
      <c r="C370" s="12" t="str">
        <f>'Josué Morales'!C514</f>
        <v/>
      </c>
      <c r="D370" s="12" t="str">
        <f>'Josué Morales'!D514</f>
        <v/>
      </c>
      <c r="E370" s="12" t="str">
        <f>'Josué Morales'!E514</f>
        <v/>
      </c>
      <c r="F370" s="108" t="str">
        <f>'Josué Morales'!F514</f>
        <v/>
      </c>
      <c r="G370" s="48" t="str">
        <f>'Josué Morales'!G514</f>
        <v/>
      </c>
      <c r="H370" s="49" t="str">
        <f>'Josué Morales'!H514</f>
        <v/>
      </c>
      <c r="I370" s="21" t="str">
        <f>'Josué Morales'!I514</f>
        <v/>
      </c>
      <c r="J370" s="108" t="str">
        <f>'Josué Morales'!J514</f>
        <v/>
      </c>
      <c r="K370" s="12" t="str">
        <f>'Josué Morales'!K514</f>
        <v/>
      </c>
    </row>
    <row r="371" ht="22.5" customHeight="1">
      <c r="A371" s="107" t="str">
        <f>'Josué Morales'!A515</f>
        <v/>
      </c>
      <c r="B371" s="12" t="str">
        <f>'Josué Morales'!B515</f>
        <v/>
      </c>
      <c r="C371" s="12" t="str">
        <f>'Josué Morales'!C515</f>
        <v/>
      </c>
      <c r="D371" s="12" t="str">
        <f>'Josué Morales'!D515</f>
        <v/>
      </c>
      <c r="E371" s="12" t="str">
        <f>'Josué Morales'!E515</f>
        <v/>
      </c>
      <c r="F371" s="108" t="str">
        <f>'Josué Morales'!F515</f>
        <v/>
      </c>
      <c r="G371" s="48" t="str">
        <f>'Josué Morales'!G515</f>
        <v/>
      </c>
      <c r="H371" s="49" t="str">
        <f>'Josué Morales'!H515</f>
        <v/>
      </c>
      <c r="I371" s="21" t="str">
        <f>'Josué Morales'!I515</f>
        <v/>
      </c>
      <c r="J371" s="108" t="str">
        <f>'Josué Morales'!J515</f>
        <v/>
      </c>
      <c r="K371" s="12" t="str">
        <f>'Josué Morales'!K515</f>
        <v/>
      </c>
    </row>
    <row r="372" ht="22.5" customHeight="1">
      <c r="A372" s="107" t="str">
        <f>'Josué Morales'!A516</f>
        <v/>
      </c>
      <c r="B372" s="12" t="str">
        <f>'Josué Morales'!B516</f>
        <v/>
      </c>
      <c r="C372" s="12" t="str">
        <f>'Josué Morales'!C516</f>
        <v/>
      </c>
      <c r="D372" s="12" t="str">
        <f>'Josué Morales'!D516</f>
        <v/>
      </c>
      <c r="E372" s="12" t="str">
        <f>'Josué Morales'!E516</f>
        <v/>
      </c>
      <c r="F372" s="108" t="str">
        <f>'Josué Morales'!F516</f>
        <v/>
      </c>
      <c r="G372" s="48" t="str">
        <f>'Josué Morales'!G516</f>
        <v/>
      </c>
      <c r="H372" s="49" t="str">
        <f>'Josué Morales'!H516</f>
        <v/>
      </c>
      <c r="I372" s="21" t="str">
        <f>'Josué Morales'!I516</f>
        <v/>
      </c>
      <c r="J372" s="108" t="str">
        <f>'Josué Morales'!J516</f>
        <v/>
      </c>
      <c r="K372" s="12" t="str">
        <f>'Josué Morales'!K516</f>
        <v/>
      </c>
    </row>
    <row r="373" ht="22.5" customHeight="1">
      <c r="A373" s="107" t="str">
        <f>'Josué Morales'!A517</f>
        <v/>
      </c>
      <c r="B373" s="12" t="str">
        <f>'Josué Morales'!B517</f>
        <v/>
      </c>
      <c r="C373" s="12" t="str">
        <f>'Josué Morales'!C517</f>
        <v/>
      </c>
      <c r="D373" s="12" t="str">
        <f>'Josué Morales'!D517</f>
        <v/>
      </c>
      <c r="E373" s="12" t="str">
        <f>'Josué Morales'!E517</f>
        <v/>
      </c>
      <c r="F373" s="108" t="str">
        <f>'Josué Morales'!F517</f>
        <v/>
      </c>
      <c r="G373" s="48" t="str">
        <f>'Josué Morales'!G517</f>
        <v/>
      </c>
      <c r="H373" s="49" t="str">
        <f>'Josué Morales'!H517</f>
        <v/>
      </c>
      <c r="I373" s="21" t="str">
        <f>'Josué Morales'!I517</f>
        <v/>
      </c>
      <c r="J373" s="108" t="str">
        <f>'Josué Morales'!J517</f>
        <v/>
      </c>
      <c r="K373" s="12" t="str">
        <f>'Josué Morales'!K517</f>
        <v/>
      </c>
    </row>
    <row r="374" ht="22.5" customHeight="1">
      <c r="A374" s="107" t="str">
        <f>'Josué Morales'!A518</f>
        <v/>
      </c>
      <c r="B374" s="12" t="str">
        <f>'Josué Morales'!B518</f>
        <v/>
      </c>
      <c r="C374" s="12" t="str">
        <f>'Josué Morales'!C518</f>
        <v/>
      </c>
      <c r="D374" s="12" t="str">
        <f>'Josué Morales'!D518</f>
        <v/>
      </c>
      <c r="E374" s="12" t="str">
        <f>'Josué Morales'!E518</f>
        <v/>
      </c>
      <c r="F374" s="108" t="str">
        <f>'Josué Morales'!F518</f>
        <v/>
      </c>
      <c r="G374" s="48" t="str">
        <f>'Josué Morales'!G518</f>
        <v/>
      </c>
      <c r="H374" s="49" t="str">
        <f>'Josué Morales'!H518</f>
        <v/>
      </c>
      <c r="I374" s="21" t="str">
        <f>'Josué Morales'!I518</f>
        <v/>
      </c>
      <c r="J374" s="108" t="str">
        <f>'Josué Morales'!J518</f>
        <v/>
      </c>
      <c r="K374" s="12" t="str">
        <f>'Josué Morales'!K518</f>
        <v/>
      </c>
    </row>
    <row r="375" ht="22.5" customHeight="1">
      <c r="A375" s="107" t="str">
        <f>'Josué Morales'!A519</f>
        <v/>
      </c>
      <c r="B375" s="12" t="str">
        <f>'Josué Morales'!B519</f>
        <v/>
      </c>
      <c r="C375" s="12" t="str">
        <f>'Josué Morales'!C519</f>
        <v/>
      </c>
      <c r="D375" s="12" t="str">
        <f>'Josué Morales'!D519</f>
        <v/>
      </c>
      <c r="E375" s="12" t="str">
        <f>'Josué Morales'!E519</f>
        <v/>
      </c>
      <c r="F375" s="108" t="str">
        <f>'Josué Morales'!F519</f>
        <v/>
      </c>
      <c r="G375" s="48" t="str">
        <f>'Josué Morales'!G519</f>
        <v/>
      </c>
      <c r="H375" s="49" t="str">
        <f>'Josué Morales'!H519</f>
        <v/>
      </c>
      <c r="I375" s="21" t="str">
        <f>'Josué Morales'!I519</f>
        <v/>
      </c>
      <c r="J375" s="108" t="str">
        <f>'Josué Morales'!J519</f>
        <v/>
      </c>
      <c r="K375" s="12" t="str">
        <f>'Josué Morales'!K519</f>
        <v/>
      </c>
    </row>
    <row r="376" ht="22.5" customHeight="1">
      <c r="A376" s="107" t="str">
        <f>'Josué Morales'!A520</f>
        <v/>
      </c>
      <c r="B376" s="12" t="str">
        <f>'Josué Morales'!B520</f>
        <v/>
      </c>
      <c r="C376" s="12" t="str">
        <f>'Josué Morales'!C520</f>
        <v/>
      </c>
      <c r="D376" s="12" t="str">
        <f>'Josué Morales'!D520</f>
        <v/>
      </c>
      <c r="E376" s="12" t="str">
        <f>'Josué Morales'!E520</f>
        <v/>
      </c>
      <c r="F376" s="108" t="str">
        <f>'Josué Morales'!F520</f>
        <v/>
      </c>
      <c r="G376" s="48" t="str">
        <f>'Josué Morales'!G520</f>
        <v/>
      </c>
      <c r="H376" s="49" t="str">
        <f>'Josué Morales'!H520</f>
        <v/>
      </c>
      <c r="I376" s="21" t="str">
        <f>'Josué Morales'!I520</f>
        <v/>
      </c>
      <c r="J376" s="108" t="str">
        <f>'Josué Morales'!J520</f>
        <v/>
      </c>
      <c r="K376" s="12" t="str">
        <f>'Josué Morales'!K520</f>
        <v/>
      </c>
    </row>
    <row r="377" ht="22.5" customHeight="1">
      <c r="A377" s="107" t="str">
        <f>'Josué Morales'!A521</f>
        <v/>
      </c>
      <c r="B377" s="12" t="str">
        <f>'Josué Morales'!B521</f>
        <v/>
      </c>
      <c r="C377" s="12" t="str">
        <f>'Josué Morales'!C521</f>
        <v/>
      </c>
      <c r="D377" s="12" t="str">
        <f>'Josué Morales'!D521</f>
        <v/>
      </c>
      <c r="E377" s="12" t="str">
        <f>'Josué Morales'!E521</f>
        <v/>
      </c>
      <c r="F377" s="108" t="str">
        <f>'Josué Morales'!F521</f>
        <v/>
      </c>
      <c r="G377" s="48" t="str">
        <f>'Josué Morales'!G521</f>
        <v/>
      </c>
      <c r="H377" s="49" t="str">
        <f>'Josué Morales'!H521</f>
        <v/>
      </c>
      <c r="I377" s="21" t="str">
        <f>'Josué Morales'!I521</f>
        <v/>
      </c>
      <c r="J377" s="108" t="str">
        <f>'Josué Morales'!J521</f>
        <v/>
      </c>
      <c r="K377" s="12" t="str">
        <f>'Josué Morales'!K521</f>
        <v/>
      </c>
    </row>
    <row r="378" ht="22.5" customHeight="1">
      <c r="A378" s="107" t="str">
        <f>'Josué Morales'!A522</f>
        <v/>
      </c>
      <c r="B378" s="12" t="str">
        <f>'Josué Morales'!B522</f>
        <v/>
      </c>
      <c r="C378" s="12" t="str">
        <f>'Josué Morales'!C522</f>
        <v/>
      </c>
      <c r="D378" s="12" t="str">
        <f>'Josué Morales'!D522</f>
        <v/>
      </c>
      <c r="E378" s="12" t="str">
        <f>'Josué Morales'!E522</f>
        <v/>
      </c>
      <c r="F378" s="108" t="str">
        <f>'Josué Morales'!F522</f>
        <v/>
      </c>
      <c r="G378" s="48" t="str">
        <f>'Josué Morales'!G522</f>
        <v/>
      </c>
      <c r="H378" s="49" t="str">
        <f>'Josué Morales'!H522</f>
        <v/>
      </c>
      <c r="I378" s="21" t="str">
        <f>'Josué Morales'!I522</f>
        <v/>
      </c>
      <c r="J378" s="108" t="str">
        <f>'Josué Morales'!J522</f>
        <v/>
      </c>
      <c r="K378" s="12" t="str">
        <f>'Josué Morales'!K522</f>
        <v/>
      </c>
    </row>
    <row r="379" ht="22.5" customHeight="1">
      <c r="A379" s="107" t="str">
        <f>'Josué Morales'!A523</f>
        <v/>
      </c>
      <c r="B379" s="12" t="str">
        <f>'Josué Morales'!B523</f>
        <v/>
      </c>
      <c r="C379" s="12" t="str">
        <f>'Josué Morales'!C523</f>
        <v/>
      </c>
      <c r="D379" s="12" t="str">
        <f>'Josué Morales'!D523</f>
        <v/>
      </c>
      <c r="E379" s="12" t="str">
        <f>'Josué Morales'!E523</f>
        <v/>
      </c>
      <c r="F379" s="108" t="str">
        <f>'Josué Morales'!F523</f>
        <v/>
      </c>
      <c r="G379" s="48" t="str">
        <f>'Josué Morales'!G523</f>
        <v/>
      </c>
      <c r="H379" s="49" t="str">
        <f>'Josué Morales'!H523</f>
        <v/>
      </c>
      <c r="I379" s="21" t="str">
        <f>'Josué Morales'!I523</f>
        <v/>
      </c>
      <c r="J379" s="108" t="str">
        <f>'Josué Morales'!J523</f>
        <v/>
      </c>
      <c r="K379" s="12" t="str">
        <f>'Josué Morales'!K523</f>
        <v/>
      </c>
    </row>
    <row r="380" ht="22.5" customHeight="1">
      <c r="A380" s="107" t="str">
        <f>'Josué Morales'!A524</f>
        <v/>
      </c>
      <c r="B380" s="12" t="str">
        <f>'Josué Morales'!B524</f>
        <v/>
      </c>
      <c r="C380" s="12" t="str">
        <f>'Josué Morales'!C524</f>
        <v/>
      </c>
      <c r="D380" s="12" t="str">
        <f>'Josué Morales'!D524</f>
        <v/>
      </c>
      <c r="E380" s="12" t="str">
        <f>'Josué Morales'!E524</f>
        <v/>
      </c>
      <c r="F380" s="108" t="str">
        <f>'Josué Morales'!F524</f>
        <v/>
      </c>
      <c r="G380" s="48" t="str">
        <f>'Josué Morales'!G524</f>
        <v/>
      </c>
      <c r="H380" s="49" t="str">
        <f>'Josué Morales'!H524</f>
        <v/>
      </c>
      <c r="I380" s="21" t="str">
        <f>'Josué Morales'!I524</f>
        <v/>
      </c>
      <c r="J380" s="108" t="str">
        <f>'Josué Morales'!J524</f>
        <v/>
      </c>
      <c r="K380" s="12" t="str">
        <f>'Josué Morales'!K524</f>
        <v/>
      </c>
    </row>
    <row r="381" ht="22.5" customHeight="1">
      <c r="A381" s="107" t="str">
        <f>'Josué Morales'!A525</f>
        <v/>
      </c>
      <c r="B381" s="12" t="str">
        <f>'Josué Morales'!B525</f>
        <v/>
      </c>
      <c r="C381" s="12" t="str">
        <f>'Josué Morales'!C525</f>
        <v/>
      </c>
      <c r="D381" s="12" t="str">
        <f>'Josué Morales'!D525</f>
        <v/>
      </c>
      <c r="E381" s="12" t="str">
        <f>'Josué Morales'!E525</f>
        <v/>
      </c>
      <c r="F381" s="108" t="str">
        <f>'Josué Morales'!F525</f>
        <v/>
      </c>
      <c r="G381" s="48" t="str">
        <f>'Josué Morales'!G525</f>
        <v/>
      </c>
      <c r="H381" s="49" t="str">
        <f>'Josué Morales'!H525</f>
        <v/>
      </c>
      <c r="I381" s="21" t="str">
        <f>'Josué Morales'!I525</f>
        <v/>
      </c>
      <c r="J381" s="108" t="str">
        <f>'Josué Morales'!J525</f>
        <v/>
      </c>
      <c r="K381" s="12" t="str">
        <f>'Josué Morales'!K525</f>
        <v/>
      </c>
    </row>
    <row r="382" ht="22.5" customHeight="1">
      <c r="A382" s="107" t="str">
        <f>'Josué Morales'!A526</f>
        <v/>
      </c>
      <c r="B382" s="12" t="str">
        <f>'Josué Morales'!B526</f>
        <v/>
      </c>
      <c r="C382" s="12" t="str">
        <f>'Josué Morales'!C526</f>
        <v/>
      </c>
      <c r="D382" s="12" t="str">
        <f>'Josué Morales'!D526</f>
        <v/>
      </c>
      <c r="E382" s="12" t="str">
        <f>'Josué Morales'!E526</f>
        <v/>
      </c>
      <c r="F382" s="108" t="str">
        <f>'Josué Morales'!F526</f>
        <v/>
      </c>
      <c r="G382" s="48" t="str">
        <f>'Josué Morales'!G526</f>
        <v/>
      </c>
      <c r="H382" s="49" t="str">
        <f>'Josué Morales'!H526</f>
        <v/>
      </c>
      <c r="I382" s="21" t="str">
        <f>'Josué Morales'!I526</f>
        <v/>
      </c>
      <c r="J382" s="108" t="str">
        <f>'Josué Morales'!J526</f>
        <v/>
      </c>
      <c r="K382" s="12" t="str">
        <f>'Josué Morales'!K526</f>
        <v/>
      </c>
    </row>
    <row r="383" ht="22.5" customHeight="1">
      <c r="A383" s="107" t="str">
        <f>'Josué Morales'!A527</f>
        <v/>
      </c>
      <c r="B383" s="12" t="str">
        <f>'Josué Morales'!B527</f>
        <v/>
      </c>
      <c r="C383" s="12" t="str">
        <f>'Josué Morales'!C527</f>
        <v/>
      </c>
      <c r="D383" s="12" t="str">
        <f>'Josué Morales'!D527</f>
        <v/>
      </c>
      <c r="E383" s="12" t="str">
        <f>'Josué Morales'!E527</f>
        <v/>
      </c>
      <c r="F383" s="108" t="str">
        <f>'Josué Morales'!F527</f>
        <v/>
      </c>
      <c r="G383" s="48" t="str">
        <f>'Josué Morales'!G527</f>
        <v/>
      </c>
      <c r="H383" s="49" t="str">
        <f>'Josué Morales'!H527</f>
        <v/>
      </c>
      <c r="I383" s="21" t="str">
        <f>'Josué Morales'!I527</f>
        <v/>
      </c>
      <c r="J383" s="108" t="str">
        <f>'Josué Morales'!J527</f>
        <v/>
      </c>
      <c r="K383" s="12" t="str">
        <f>'Josué Morales'!K527</f>
        <v/>
      </c>
    </row>
    <row r="384" ht="22.5" customHeight="1">
      <c r="A384" s="107" t="str">
        <f>'Josué Morales'!A528</f>
        <v/>
      </c>
      <c r="B384" s="12" t="str">
        <f>'Josué Morales'!B528</f>
        <v/>
      </c>
      <c r="C384" s="12" t="str">
        <f>'Josué Morales'!C528</f>
        <v/>
      </c>
      <c r="D384" s="12" t="str">
        <f>'Josué Morales'!D528</f>
        <v/>
      </c>
      <c r="E384" s="12" t="str">
        <f>'Josué Morales'!E528</f>
        <v/>
      </c>
      <c r="F384" s="108" t="str">
        <f>'Josué Morales'!F528</f>
        <v/>
      </c>
      <c r="G384" s="48" t="str">
        <f>'Josué Morales'!G528</f>
        <v/>
      </c>
      <c r="H384" s="49" t="str">
        <f>'Josué Morales'!H528</f>
        <v/>
      </c>
      <c r="I384" s="21" t="str">
        <f>'Josué Morales'!I528</f>
        <v/>
      </c>
      <c r="J384" s="108" t="str">
        <f>'Josué Morales'!J528</f>
        <v/>
      </c>
      <c r="K384" s="12" t="str">
        <f>'Josué Morales'!K528</f>
        <v/>
      </c>
    </row>
    <row r="385" ht="22.5" customHeight="1">
      <c r="A385" s="107" t="str">
        <f>'Josué Morales'!A529</f>
        <v/>
      </c>
      <c r="B385" s="12" t="str">
        <f>'Josué Morales'!B529</f>
        <v/>
      </c>
      <c r="C385" s="12" t="str">
        <f>'Josué Morales'!C529</f>
        <v/>
      </c>
      <c r="D385" s="12" t="str">
        <f>'Josué Morales'!D529</f>
        <v/>
      </c>
      <c r="E385" s="12" t="str">
        <f>'Josué Morales'!E529</f>
        <v/>
      </c>
      <c r="F385" s="108" t="str">
        <f>'Josué Morales'!F529</f>
        <v/>
      </c>
      <c r="G385" s="48" t="str">
        <f>'Josué Morales'!G529</f>
        <v/>
      </c>
      <c r="H385" s="49" t="str">
        <f>'Josué Morales'!H529</f>
        <v/>
      </c>
      <c r="I385" s="21" t="str">
        <f>'Josué Morales'!I529</f>
        <v/>
      </c>
      <c r="J385" s="108" t="str">
        <f>'Josué Morales'!J529</f>
        <v/>
      </c>
      <c r="K385" s="12" t="str">
        <f>'Josué Morales'!K529</f>
        <v/>
      </c>
    </row>
    <row r="386" ht="22.5" customHeight="1">
      <c r="A386" s="107" t="str">
        <f>'Josué Morales'!A530</f>
        <v/>
      </c>
      <c r="B386" s="12" t="str">
        <f>'Josué Morales'!B530</f>
        <v/>
      </c>
      <c r="C386" s="12" t="str">
        <f>'Josué Morales'!C530</f>
        <v/>
      </c>
      <c r="D386" s="12" t="str">
        <f>'Josué Morales'!D530</f>
        <v/>
      </c>
      <c r="E386" s="12" t="str">
        <f>'Josué Morales'!E530</f>
        <v/>
      </c>
      <c r="F386" s="108" t="str">
        <f>'Josué Morales'!F530</f>
        <v/>
      </c>
      <c r="G386" s="48" t="str">
        <f>'Josué Morales'!G530</f>
        <v/>
      </c>
      <c r="H386" s="49" t="str">
        <f>'Josué Morales'!H530</f>
        <v/>
      </c>
      <c r="I386" s="21" t="str">
        <f>'Josué Morales'!I530</f>
        <v/>
      </c>
      <c r="J386" s="108" t="str">
        <f>'Josué Morales'!J530</f>
        <v/>
      </c>
      <c r="K386" s="12" t="str">
        <f>'Josué Morales'!K530</f>
        <v/>
      </c>
    </row>
    <row r="387" ht="22.5" customHeight="1">
      <c r="A387" s="107" t="str">
        <f>'Josué Morales'!A531</f>
        <v/>
      </c>
      <c r="B387" s="12" t="str">
        <f>'Josué Morales'!B531</f>
        <v/>
      </c>
      <c r="C387" s="12" t="str">
        <f>'Josué Morales'!C531</f>
        <v/>
      </c>
      <c r="D387" s="12" t="str">
        <f>'Josué Morales'!D531</f>
        <v/>
      </c>
      <c r="E387" s="12" t="str">
        <f>'Josué Morales'!E531</f>
        <v/>
      </c>
      <c r="F387" s="108" t="str">
        <f>'Josué Morales'!F531</f>
        <v/>
      </c>
      <c r="G387" s="48" t="str">
        <f>'Josué Morales'!G531</f>
        <v/>
      </c>
      <c r="H387" s="49" t="str">
        <f>'Josué Morales'!H531</f>
        <v/>
      </c>
      <c r="I387" s="21" t="str">
        <f>'Josué Morales'!I531</f>
        <v/>
      </c>
      <c r="J387" s="108" t="str">
        <f>'Josué Morales'!J531</f>
        <v/>
      </c>
      <c r="K387" s="12" t="str">
        <f>'Josué Morales'!K531</f>
        <v/>
      </c>
    </row>
    <row r="388" ht="22.5" customHeight="1">
      <c r="A388" s="107" t="str">
        <f>'Josué Morales'!A532</f>
        <v/>
      </c>
      <c r="B388" s="12" t="str">
        <f>'Josué Morales'!B532</f>
        <v/>
      </c>
      <c r="C388" s="12" t="str">
        <f>'Josué Morales'!C532</f>
        <v/>
      </c>
      <c r="D388" s="12" t="str">
        <f>'Josué Morales'!D532</f>
        <v/>
      </c>
      <c r="E388" s="12" t="str">
        <f>'Josué Morales'!E532</f>
        <v/>
      </c>
      <c r="F388" s="108" t="str">
        <f>'Josué Morales'!F532</f>
        <v/>
      </c>
      <c r="G388" s="48" t="str">
        <f>'Josué Morales'!G532</f>
        <v/>
      </c>
      <c r="H388" s="49" t="str">
        <f>'Josué Morales'!H532</f>
        <v/>
      </c>
      <c r="I388" s="21" t="str">
        <f>'Josué Morales'!I532</f>
        <v/>
      </c>
      <c r="J388" s="108" t="str">
        <f>'Josué Morales'!J532</f>
        <v/>
      </c>
      <c r="K388" s="12" t="str">
        <f>'Josué Morales'!K532</f>
        <v/>
      </c>
    </row>
    <row r="389" ht="22.5" customHeight="1">
      <c r="A389" s="107" t="str">
        <f>'Josué Morales'!A533</f>
        <v/>
      </c>
      <c r="B389" s="12" t="str">
        <f>'Josué Morales'!B533</f>
        <v/>
      </c>
      <c r="C389" s="12" t="str">
        <f>'Josué Morales'!C533</f>
        <v/>
      </c>
      <c r="D389" s="12" t="str">
        <f>'Josué Morales'!D533</f>
        <v/>
      </c>
      <c r="E389" s="12" t="str">
        <f>'Josué Morales'!E533</f>
        <v/>
      </c>
      <c r="F389" s="108" t="str">
        <f>'Josué Morales'!F533</f>
        <v/>
      </c>
      <c r="G389" s="48" t="str">
        <f>'Josué Morales'!G533</f>
        <v/>
      </c>
      <c r="H389" s="49" t="str">
        <f>'Josué Morales'!H533</f>
        <v/>
      </c>
      <c r="I389" s="21" t="str">
        <f>'Josué Morales'!I533</f>
        <v/>
      </c>
      <c r="J389" s="108" t="str">
        <f>'Josué Morales'!J533</f>
        <v/>
      </c>
      <c r="K389" s="12" t="str">
        <f>'Josué Morales'!K533</f>
        <v/>
      </c>
    </row>
    <row r="390" ht="22.5" customHeight="1">
      <c r="A390" s="107" t="str">
        <f>'Josué Morales'!A534</f>
        <v/>
      </c>
      <c r="B390" s="12" t="str">
        <f>'Josué Morales'!B534</f>
        <v/>
      </c>
      <c r="C390" s="12" t="str">
        <f>'Josué Morales'!C534</f>
        <v/>
      </c>
      <c r="D390" s="12" t="str">
        <f>'Josué Morales'!D534</f>
        <v/>
      </c>
      <c r="E390" s="12" t="str">
        <f>'Josué Morales'!E534</f>
        <v/>
      </c>
      <c r="F390" s="108" t="str">
        <f>'Josué Morales'!F534</f>
        <v/>
      </c>
      <c r="G390" s="48" t="str">
        <f>'Josué Morales'!G534</f>
        <v/>
      </c>
      <c r="H390" s="49" t="str">
        <f>'Josué Morales'!H534</f>
        <v/>
      </c>
      <c r="I390" s="21" t="str">
        <f>'Josué Morales'!I534</f>
        <v/>
      </c>
      <c r="J390" s="108" t="str">
        <f>'Josué Morales'!J534</f>
        <v/>
      </c>
      <c r="K390" s="12" t="str">
        <f>'Josué Morales'!K534</f>
        <v/>
      </c>
    </row>
    <row r="391" ht="22.5" customHeight="1">
      <c r="A391" s="107" t="str">
        <f>'Josué Morales'!A535</f>
        <v/>
      </c>
      <c r="B391" s="12" t="str">
        <f>'Josué Morales'!B535</f>
        <v/>
      </c>
      <c r="C391" s="12" t="str">
        <f>'Josué Morales'!C535</f>
        <v/>
      </c>
      <c r="D391" s="12" t="str">
        <f>'Josué Morales'!D535</f>
        <v/>
      </c>
      <c r="E391" s="12" t="str">
        <f>'Josué Morales'!E535</f>
        <v/>
      </c>
      <c r="F391" s="108" t="str">
        <f>'Josué Morales'!F535</f>
        <v/>
      </c>
      <c r="G391" s="48" t="str">
        <f>'Josué Morales'!G535</f>
        <v/>
      </c>
      <c r="H391" s="49" t="str">
        <f>'Josué Morales'!H535</f>
        <v/>
      </c>
      <c r="I391" s="21" t="str">
        <f>'Josué Morales'!I535</f>
        <v/>
      </c>
      <c r="J391" s="108" t="str">
        <f>'Josué Morales'!J535</f>
        <v/>
      </c>
      <c r="K391" s="12" t="str">
        <f>'Josué Morales'!K535</f>
        <v/>
      </c>
    </row>
    <row r="392" ht="22.5" customHeight="1">
      <c r="A392" s="107" t="str">
        <f>'Josué Morales'!A536</f>
        <v/>
      </c>
      <c r="B392" s="12" t="str">
        <f>'Josué Morales'!B536</f>
        <v/>
      </c>
      <c r="C392" s="12" t="str">
        <f>'Josué Morales'!C536</f>
        <v/>
      </c>
      <c r="D392" s="12" t="str">
        <f>'Josué Morales'!D536</f>
        <v/>
      </c>
      <c r="E392" s="12" t="str">
        <f>'Josué Morales'!E536</f>
        <v/>
      </c>
      <c r="F392" s="108" t="str">
        <f>'Josué Morales'!F536</f>
        <v/>
      </c>
      <c r="G392" s="48" t="str">
        <f>'Josué Morales'!G536</f>
        <v/>
      </c>
      <c r="H392" s="49" t="str">
        <f>'Josué Morales'!H536</f>
        <v/>
      </c>
      <c r="I392" s="21" t="str">
        <f>'Josué Morales'!I536</f>
        <v/>
      </c>
      <c r="J392" s="108" t="str">
        <f>'Josué Morales'!J536</f>
        <v/>
      </c>
      <c r="K392" s="12" t="str">
        <f>'Josué Morales'!K536</f>
        <v/>
      </c>
    </row>
    <row r="393" ht="22.5" customHeight="1">
      <c r="A393" s="107" t="str">
        <f>'Josué Morales'!A537</f>
        <v/>
      </c>
      <c r="B393" s="12" t="str">
        <f>'Josué Morales'!B537</f>
        <v/>
      </c>
      <c r="C393" s="12" t="str">
        <f>'Josué Morales'!C537</f>
        <v/>
      </c>
      <c r="D393" s="12" t="str">
        <f>'Josué Morales'!D537</f>
        <v/>
      </c>
      <c r="E393" s="12" t="str">
        <f>'Josué Morales'!E537</f>
        <v/>
      </c>
      <c r="F393" s="108" t="str">
        <f>'Josué Morales'!F537</f>
        <v/>
      </c>
      <c r="G393" s="48" t="str">
        <f>'Josué Morales'!G537</f>
        <v/>
      </c>
      <c r="H393" s="49" t="str">
        <f>'Josué Morales'!H537</f>
        <v/>
      </c>
      <c r="I393" s="21" t="str">
        <f>'Josué Morales'!I537</f>
        <v/>
      </c>
      <c r="J393" s="108" t="str">
        <f>'Josué Morales'!J537</f>
        <v/>
      </c>
      <c r="K393" s="12" t="str">
        <f>'Josué Morales'!K537</f>
        <v/>
      </c>
    </row>
    <row r="394" ht="22.5" customHeight="1">
      <c r="A394" s="107" t="str">
        <f>'Josué Morales'!A538</f>
        <v/>
      </c>
      <c r="B394" s="12" t="str">
        <f>'Josué Morales'!B538</f>
        <v/>
      </c>
      <c r="C394" s="12" t="str">
        <f>'Josué Morales'!C538</f>
        <v/>
      </c>
      <c r="D394" s="12" t="str">
        <f>'Josué Morales'!D538</f>
        <v/>
      </c>
      <c r="E394" s="12" t="str">
        <f>'Josué Morales'!E538</f>
        <v/>
      </c>
      <c r="F394" s="108" t="str">
        <f>'Josué Morales'!F538</f>
        <v/>
      </c>
      <c r="G394" s="48" t="str">
        <f>'Josué Morales'!G538</f>
        <v/>
      </c>
      <c r="H394" s="49" t="str">
        <f>'Josué Morales'!H538</f>
        <v/>
      </c>
      <c r="I394" s="21" t="str">
        <f>'Josué Morales'!I538</f>
        <v/>
      </c>
      <c r="J394" s="108" t="str">
        <f>'Josué Morales'!J538</f>
        <v/>
      </c>
      <c r="K394" s="12" t="str">
        <f>'Josué Morales'!K538</f>
        <v/>
      </c>
    </row>
    <row r="395" ht="22.5" customHeight="1">
      <c r="A395" s="107" t="str">
        <f>'Josué Morales'!A539</f>
        <v/>
      </c>
      <c r="B395" s="12" t="str">
        <f>'Josué Morales'!B539</f>
        <v/>
      </c>
      <c r="C395" s="12" t="str">
        <f>'Josué Morales'!C539</f>
        <v/>
      </c>
      <c r="D395" s="12" t="str">
        <f>'Josué Morales'!D539</f>
        <v/>
      </c>
      <c r="E395" s="12" t="str">
        <f>'Josué Morales'!E539</f>
        <v/>
      </c>
      <c r="F395" s="108" t="str">
        <f>'Josué Morales'!F539</f>
        <v/>
      </c>
      <c r="G395" s="48" t="str">
        <f>'Josué Morales'!G539</f>
        <v/>
      </c>
      <c r="H395" s="49" t="str">
        <f>'Josué Morales'!H539</f>
        <v/>
      </c>
      <c r="I395" s="21" t="str">
        <f>'Josué Morales'!I539</f>
        <v/>
      </c>
      <c r="J395" s="108" t="str">
        <f>'Josué Morales'!J539</f>
        <v/>
      </c>
      <c r="K395" s="12" t="str">
        <f>'Josué Morales'!K539</f>
        <v/>
      </c>
    </row>
    <row r="396" ht="22.5" customHeight="1">
      <c r="A396" s="107" t="str">
        <f>'Josué Morales'!A540</f>
        <v/>
      </c>
      <c r="B396" s="12" t="str">
        <f>'Josué Morales'!B540</f>
        <v/>
      </c>
      <c r="C396" s="12" t="str">
        <f>'Josué Morales'!C540</f>
        <v/>
      </c>
      <c r="D396" s="12" t="str">
        <f>'Josué Morales'!D540</f>
        <v/>
      </c>
      <c r="E396" s="12" t="str">
        <f>'Josué Morales'!E540</f>
        <v/>
      </c>
      <c r="F396" s="108" t="str">
        <f>'Josué Morales'!F540</f>
        <v/>
      </c>
      <c r="G396" s="48" t="str">
        <f>'Josué Morales'!G540</f>
        <v/>
      </c>
      <c r="H396" s="49" t="str">
        <f>'Josué Morales'!H540</f>
        <v/>
      </c>
      <c r="I396" s="21" t="str">
        <f>'Josué Morales'!I540</f>
        <v/>
      </c>
      <c r="J396" s="108" t="str">
        <f>'Josué Morales'!J540</f>
        <v/>
      </c>
      <c r="K396" s="12" t="str">
        <f>'Josué Morales'!K540</f>
        <v/>
      </c>
    </row>
    <row r="397" ht="22.5" customHeight="1">
      <c r="A397" s="107" t="str">
        <f>'Josué Morales'!A541</f>
        <v/>
      </c>
      <c r="B397" s="12" t="str">
        <f>'Josué Morales'!B541</f>
        <v/>
      </c>
      <c r="C397" s="12" t="str">
        <f>'Josué Morales'!C541</f>
        <v/>
      </c>
      <c r="D397" s="12" t="str">
        <f>'Josué Morales'!D541</f>
        <v/>
      </c>
      <c r="E397" s="12" t="str">
        <f>'Josué Morales'!E541</f>
        <v/>
      </c>
      <c r="F397" s="108" t="str">
        <f>'Josué Morales'!F541</f>
        <v/>
      </c>
      <c r="G397" s="48" t="str">
        <f>'Josué Morales'!G541</f>
        <v/>
      </c>
      <c r="H397" s="49" t="str">
        <f>'Josué Morales'!H541</f>
        <v/>
      </c>
      <c r="I397" s="21" t="str">
        <f>'Josué Morales'!I541</f>
        <v/>
      </c>
      <c r="J397" s="108" t="str">
        <f>'Josué Morales'!J541</f>
        <v/>
      </c>
      <c r="K397" s="12" t="str">
        <f>'Josué Morales'!K541</f>
        <v/>
      </c>
    </row>
    <row r="398" ht="22.5" customHeight="1">
      <c r="A398" s="107" t="str">
        <f>'Josué Morales'!A542</f>
        <v/>
      </c>
      <c r="B398" s="12" t="str">
        <f>'Josué Morales'!B542</f>
        <v/>
      </c>
      <c r="C398" s="12" t="str">
        <f>'Josué Morales'!C542</f>
        <v/>
      </c>
      <c r="D398" s="12" t="str">
        <f>'Josué Morales'!D542</f>
        <v/>
      </c>
      <c r="E398" s="12" t="str">
        <f>'Josué Morales'!E542</f>
        <v/>
      </c>
      <c r="F398" s="108" t="str">
        <f>'Josué Morales'!F542</f>
        <v/>
      </c>
      <c r="G398" s="48" t="str">
        <f>'Josué Morales'!G542</f>
        <v/>
      </c>
      <c r="H398" s="49" t="str">
        <f>'Josué Morales'!H542</f>
        <v/>
      </c>
      <c r="I398" s="21" t="str">
        <f>'Josué Morales'!I542</f>
        <v/>
      </c>
      <c r="J398" s="108" t="str">
        <f>'Josué Morales'!J542</f>
        <v/>
      </c>
      <c r="K398" s="12" t="str">
        <f>'Josué Morales'!K542</f>
        <v/>
      </c>
    </row>
    <row r="399" ht="22.5" customHeight="1">
      <c r="A399" s="107" t="str">
        <f>'Josué Morales'!A543</f>
        <v/>
      </c>
      <c r="B399" s="12" t="str">
        <f>'Josué Morales'!B543</f>
        <v/>
      </c>
      <c r="C399" s="12" t="str">
        <f>'Josué Morales'!C543</f>
        <v/>
      </c>
      <c r="D399" s="12" t="str">
        <f>'Josué Morales'!D543</f>
        <v/>
      </c>
      <c r="E399" s="12" t="str">
        <f>'Josué Morales'!E543</f>
        <v/>
      </c>
      <c r="F399" s="108" t="str">
        <f>'Josué Morales'!F543</f>
        <v/>
      </c>
      <c r="G399" s="48" t="str">
        <f>'Josué Morales'!G543</f>
        <v/>
      </c>
      <c r="H399" s="49" t="str">
        <f>'Josué Morales'!H543</f>
        <v/>
      </c>
      <c r="I399" s="21" t="str">
        <f>'Josué Morales'!I543</f>
        <v/>
      </c>
      <c r="J399" s="108" t="str">
        <f>'Josué Morales'!J543</f>
        <v/>
      </c>
      <c r="K399" s="12" t="str">
        <f>'Josué Morales'!K543</f>
        <v/>
      </c>
    </row>
    <row r="400" ht="22.5" customHeight="1">
      <c r="A400" s="107" t="str">
        <f>'Josué Morales'!A544</f>
        <v/>
      </c>
      <c r="B400" s="12" t="str">
        <f>'Josué Morales'!B544</f>
        <v/>
      </c>
      <c r="C400" s="12" t="str">
        <f>'Josué Morales'!C544</f>
        <v/>
      </c>
      <c r="D400" s="12" t="str">
        <f>'Josué Morales'!D544</f>
        <v/>
      </c>
      <c r="E400" s="12" t="str">
        <f>'Josué Morales'!E544</f>
        <v/>
      </c>
      <c r="F400" s="108" t="str">
        <f>'Josué Morales'!F544</f>
        <v/>
      </c>
      <c r="G400" s="48" t="str">
        <f>'Josué Morales'!G544</f>
        <v/>
      </c>
      <c r="H400" s="49" t="str">
        <f>'Josué Morales'!H544</f>
        <v/>
      </c>
      <c r="I400" s="21" t="str">
        <f>'Josué Morales'!I544</f>
        <v/>
      </c>
      <c r="J400" s="108" t="str">
        <f>'Josué Morales'!J544</f>
        <v/>
      </c>
      <c r="K400" s="12" t="str">
        <f>'Josué Morales'!K544</f>
        <v/>
      </c>
    </row>
    <row r="401" ht="22.5" customHeight="1">
      <c r="A401" s="107" t="str">
        <f>'Josué Morales'!A545</f>
        <v/>
      </c>
      <c r="B401" s="12" t="str">
        <f>'Josué Morales'!B545</f>
        <v/>
      </c>
      <c r="C401" s="12" t="str">
        <f>'Josué Morales'!C545</f>
        <v/>
      </c>
      <c r="D401" s="12" t="str">
        <f>'Josué Morales'!D545</f>
        <v/>
      </c>
      <c r="E401" s="12" t="str">
        <f>'Josué Morales'!E545</f>
        <v/>
      </c>
      <c r="F401" s="108" t="str">
        <f>'Josué Morales'!F545</f>
        <v/>
      </c>
      <c r="G401" s="48" t="str">
        <f>'Josué Morales'!G545</f>
        <v/>
      </c>
      <c r="H401" s="49" t="str">
        <f>'Josué Morales'!H545</f>
        <v/>
      </c>
      <c r="I401" s="21" t="str">
        <f>'Josué Morales'!I545</f>
        <v/>
      </c>
      <c r="J401" s="108" t="str">
        <f>'Josué Morales'!J545</f>
        <v/>
      </c>
      <c r="K401" s="12" t="str">
        <f>'Josué Morales'!K545</f>
        <v/>
      </c>
    </row>
    <row r="402" ht="22.5" customHeight="1">
      <c r="A402" s="107" t="str">
        <f>'Josué Morales'!A546</f>
        <v/>
      </c>
      <c r="B402" s="12" t="str">
        <f>'Josué Morales'!B546</f>
        <v/>
      </c>
      <c r="C402" s="12" t="str">
        <f>'Josué Morales'!C546</f>
        <v/>
      </c>
      <c r="D402" s="12" t="str">
        <f>'Josué Morales'!D546</f>
        <v/>
      </c>
      <c r="E402" s="12" t="str">
        <f>'Josué Morales'!E546</f>
        <v/>
      </c>
      <c r="F402" s="108" t="str">
        <f>'Josué Morales'!F546</f>
        <v/>
      </c>
      <c r="G402" s="48" t="str">
        <f>'Josué Morales'!G546</f>
        <v/>
      </c>
      <c r="H402" s="49" t="str">
        <f>'Josué Morales'!H546</f>
        <v/>
      </c>
      <c r="I402" s="21" t="str">
        <f>'Josué Morales'!I546</f>
        <v/>
      </c>
      <c r="J402" s="108" t="str">
        <f>'Josué Morales'!J546</f>
        <v/>
      </c>
      <c r="K402" s="12" t="str">
        <f>'Josué Morales'!K546</f>
        <v/>
      </c>
    </row>
    <row r="403" ht="22.5" customHeight="1">
      <c r="A403" s="107" t="str">
        <f>'Josué Morales'!A547</f>
        <v/>
      </c>
      <c r="B403" s="12" t="str">
        <f>'Josué Morales'!B547</f>
        <v/>
      </c>
      <c r="C403" s="12" t="str">
        <f>'Josué Morales'!C547</f>
        <v/>
      </c>
      <c r="D403" s="12" t="str">
        <f>'Josué Morales'!D547</f>
        <v/>
      </c>
      <c r="E403" s="12" t="str">
        <f>'Josué Morales'!E547</f>
        <v/>
      </c>
      <c r="F403" s="108" t="str">
        <f>'Josué Morales'!F547</f>
        <v/>
      </c>
      <c r="G403" s="48" t="str">
        <f>'Josué Morales'!G547</f>
        <v/>
      </c>
      <c r="H403" s="49" t="str">
        <f>'Josué Morales'!H547</f>
        <v/>
      </c>
      <c r="I403" s="21" t="str">
        <f>'Josué Morales'!I547</f>
        <v/>
      </c>
      <c r="J403" s="108" t="str">
        <f>'Josué Morales'!J547</f>
        <v/>
      </c>
      <c r="K403" s="12" t="str">
        <f>'Josué Morales'!K547</f>
        <v/>
      </c>
    </row>
    <row r="404" ht="22.5" customHeight="1">
      <c r="A404" s="107" t="str">
        <f>'Josué Morales'!A548</f>
        <v/>
      </c>
      <c r="B404" s="12" t="str">
        <f>'Josué Morales'!B548</f>
        <v/>
      </c>
      <c r="C404" s="12" t="str">
        <f>'Josué Morales'!C548</f>
        <v/>
      </c>
      <c r="D404" s="12" t="str">
        <f>'Josué Morales'!D548</f>
        <v/>
      </c>
      <c r="E404" s="12" t="str">
        <f>'Josué Morales'!E548</f>
        <v/>
      </c>
      <c r="F404" s="108" t="str">
        <f>'Josué Morales'!F548</f>
        <v/>
      </c>
      <c r="G404" s="48" t="str">
        <f>'Josué Morales'!G548</f>
        <v/>
      </c>
      <c r="H404" s="49" t="str">
        <f>'Josué Morales'!H548</f>
        <v/>
      </c>
      <c r="I404" s="21" t="str">
        <f>'Josué Morales'!I548</f>
        <v/>
      </c>
      <c r="J404" s="108" t="str">
        <f>'Josué Morales'!J548</f>
        <v/>
      </c>
      <c r="K404" s="12" t="str">
        <f>'Josué Morales'!K548</f>
        <v/>
      </c>
    </row>
    <row r="405" ht="22.5" customHeight="1">
      <c r="A405" s="107" t="str">
        <f>'Josué Morales'!A549</f>
        <v/>
      </c>
      <c r="B405" s="12" t="str">
        <f>'Josué Morales'!B549</f>
        <v/>
      </c>
      <c r="C405" s="12" t="str">
        <f>'Josué Morales'!C549</f>
        <v/>
      </c>
      <c r="D405" s="12" t="str">
        <f>'Josué Morales'!D549</f>
        <v/>
      </c>
      <c r="E405" s="12" t="str">
        <f>'Josué Morales'!E549</f>
        <v/>
      </c>
      <c r="F405" s="108" t="str">
        <f>'Josué Morales'!F549</f>
        <v/>
      </c>
      <c r="G405" s="48" t="str">
        <f>'Josué Morales'!G549</f>
        <v/>
      </c>
      <c r="H405" s="49" t="str">
        <f>'Josué Morales'!H549</f>
        <v/>
      </c>
      <c r="I405" s="21" t="str">
        <f>'Josué Morales'!I549</f>
        <v/>
      </c>
      <c r="J405" s="108" t="str">
        <f>'Josué Morales'!J549</f>
        <v/>
      </c>
      <c r="K405" s="12" t="str">
        <f>'Josué Morales'!K549</f>
        <v/>
      </c>
    </row>
    <row r="406" ht="22.5" customHeight="1">
      <c r="A406" s="107" t="str">
        <f>'Josué Morales'!A550</f>
        <v/>
      </c>
      <c r="B406" s="12" t="str">
        <f>'Josué Morales'!B550</f>
        <v/>
      </c>
      <c r="C406" s="12" t="str">
        <f>'Josué Morales'!C550</f>
        <v/>
      </c>
      <c r="D406" s="12" t="str">
        <f>'Josué Morales'!D550</f>
        <v/>
      </c>
      <c r="E406" s="12" t="str">
        <f>'Josué Morales'!E550</f>
        <v/>
      </c>
      <c r="F406" s="108" t="str">
        <f>'Josué Morales'!F550</f>
        <v/>
      </c>
      <c r="G406" s="48" t="str">
        <f>'Josué Morales'!G550</f>
        <v/>
      </c>
      <c r="H406" s="49" t="str">
        <f>'Josué Morales'!H550</f>
        <v/>
      </c>
      <c r="I406" s="21" t="str">
        <f>'Josué Morales'!I550</f>
        <v/>
      </c>
      <c r="J406" s="108" t="str">
        <f>'Josué Morales'!J550</f>
        <v/>
      </c>
      <c r="K406" s="12" t="str">
        <f>'Josué Morales'!K550</f>
        <v/>
      </c>
    </row>
    <row r="407" ht="22.5" customHeight="1">
      <c r="A407" s="107" t="str">
        <f>'Josué Morales'!A551</f>
        <v/>
      </c>
      <c r="B407" s="12" t="str">
        <f>'Josué Morales'!B551</f>
        <v/>
      </c>
      <c r="C407" s="12" t="str">
        <f>'Josué Morales'!C551</f>
        <v/>
      </c>
      <c r="D407" s="12" t="str">
        <f>'Josué Morales'!D551</f>
        <v/>
      </c>
      <c r="E407" s="12" t="str">
        <f>'Josué Morales'!E551</f>
        <v/>
      </c>
      <c r="F407" s="108" t="str">
        <f>'Josué Morales'!F551</f>
        <v/>
      </c>
      <c r="G407" s="48" t="str">
        <f>'Josué Morales'!G551</f>
        <v/>
      </c>
      <c r="H407" s="49" t="str">
        <f>'Josué Morales'!H551</f>
        <v/>
      </c>
      <c r="I407" s="21" t="str">
        <f>'Josué Morales'!I551</f>
        <v/>
      </c>
      <c r="J407" s="108" t="str">
        <f>'Josué Morales'!J551</f>
        <v/>
      </c>
      <c r="K407" s="12" t="str">
        <f>'Josué Morales'!K551</f>
        <v/>
      </c>
    </row>
    <row r="408" ht="22.5" customHeight="1">
      <c r="A408" s="107" t="str">
        <f>'Josué Morales'!A552</f>
        <v/>
      </c>
      <c r="B408" s="12" t="str">
        <f>'Josué Morales'!B552</f>
        <v/>
      </c>
      <c r="C408" s="12" t="str">
        <f>'Josué Morales'!C552</f>
        <v/>
      </c>
      <c r="D408" s="12" t="str">
        <f>'Josué Morales'!D552</f>
        <v/>
      </c>
      <c r="E408" s="12" t="str">
        <f>'Josué Morales'!E552</f>
        <v/>
      </c>
      <c r="F408" s="108" t="str">
        <f>'Josué Morales'!F552</f>
        <v/>
      </c>
      <c r="G408" s="48" t="str">
        <f>'Josué Morales'!G552</f>
        <v/>
      </c>
      <c r="H408" s="49" t="str">
        <f>'Josué Morales'!H552</f>
        <v/>
      </c>
      <c r="I408" s="21" t="str">
        <f>'Josué Morales'!I552</f>
        <v/>
      </c>
      <c r="J408" s="108" t="str">
        <f>'Josué Morales'!J552</f>
        <v/>
      </c>
      <c r="K408" s="12" t="str">
        <f>'Josué Morales'!K552</f>
        <v/>
      </c>
    </row>
    <row r="409" ht="22.5" customHeight="1">
      <c r="A409" s="107" t="str">
        <f>'Josué Morales'!A553</f>
        <v/>
      </c>
      <c r="B409" s="12" t="str">
        <f>'Josué Morales'!B553</f>
        <v/>
      </c>
      <c r="C409" s="12" t="str">
        <f>'Josué Morales'!C553</f>
        <v/>
      </c>
      <c r="D409" s="12" t="str">
        <f>'Josué Morales'!D553</f>
        <v/>
      </c>
      <c r="E409" s="12" t="str">
        <f>'Josué Morales'!E553</f>
        <v/>
      </c>
      <c r="F409" s="108" t="str">
        <f>'Josué Morales'!F553</f>
        <v/>
      </c>
      <c r="G409" s="48" t="str">
        <f>'Josué Morales'!G553</f>
        <v/>
      </c>
      <c r="H409" s="49" t="str">
        <f>'Josué Morales'!H553</f>
        <v/>
      </c>
      <c r="I409" s="21" t="str">
        <f>'Josué Morales'!I553</f>
        <v/>
      </c>
      <c r="J409" s="108" t="str">
        <f>'Josué Morales'!J553</f>
        <v/>
      </c>
      <c r="K409" s="12" t="str">
        <f>'Josué Morales'!K553</f>
        <v/>
      </c>
    </row>
    <row r="410" ht="22.5" customHeight="1">
      <c r="A410" s="107" t="str">
        <f>'Josué Morales'!A554</f>
        <v/>
      </c>
      <c r="B410" s="12" t="str">
        <f>'Josué Morales'!B554</f>
        <v/>
      </c>
      <c r="C410" s="12" t="str">
        <f>'Josué Morales'!C554</f>
        <v/>
      </c>
      <c r="D410" s="12" t="str">
        <f>'Josué Morales'!D554</f>
        <v/>
      </c>
      <c r="E410" s="12" t="str">
        <f>'Josué Morales'!E554</f>
        <v/>
      </c>
      <c r="F410" s="108" t="str">
        <f>'Josué Morales'!F554</f>
        <v/>
      </c>
      <c r="G410" s="48" t="str">
        <f>'Josué Morales'!G554</f>
        <v/>
      </c>
      <c r="H410" s="49" t="str">
        <f>'Josué Morales'!H554</f>
        <v/>
      </c>
      <c r="I410" s="21" t="str">
        <f>'Josué Morales'!I554</f>
        <v/>
      </c>
      <c r="J410" s="108" t="str">
        <f>'Josué Morales'!J554</f>
        <v/>
      </c>
      <c r="K410" s="12" t="str">
        <f>'Josué Morales'!K554</f>
        <v/>
      </c>
    </row>
    <row r="411" ht="22.5" customHeight="1">
      <c r="A411" s="107" t="str">
        <f>'Josué Morales'!A555</f>
        <v/>
      </c>
      <c r="B411" s="12" t="str">
        <f>'Josué Morales'!B555</f>
        <v/>
      </c>
      <c r="C411" s="12" t="str">
        <f>'Josué Morales'!C555</f>
        <v/>
      </c>
      <c r="D411" s="12" t="str">
        <f>'Josué Morales'!D555</f>
        <v/>
      </c>
      <c r="E411" s="12" t="str">
        <f>'Josué Morales'!E555</f>
        <v/>
      </c>
      <c r="F411" s="108" t="str">
        <f>'Josué Morales'!F555</f>
        <v/>
      </c>
      <c r="G411" s="48" t="str">
        <f>'Josué Morales'!G555</f>
        <v/>
      </c>
      <c r="H411" s="49" t="str">
        <f>'Josué Morales'!H555</f>
        <v/>
      </c>
      <c r="I411" s="21" t="str">
        <f>'Josué Morales'!I555</f>
        <v/>
      </c>
      <c r="J411" s="108" t="str">
        <f>'Josué Morales'!J555</f>
        <v/>
      </c>
      <c r="K411" s="12" t="str">
        <f>'Josué Morales'!K555</f>
        <v/>
      </c>
    </row>
    <row r="412" ht="22.5" customHeight="1">
      <c r="A412" s="107" t="str">
        <f>'Josué Morales'!A556</f>
        <v/>
      </c>
      <c r="B412" s="12" t="str">
        <f>'Josué Morales'!B556</f>
        <v/>
      </c>
      <c r="C412" s="12" t="str">
        <f>'Josué Morales'!C556</f>
        <v/>
      </c>
      <c r="D412" s="12" t="str">
        <f>'Josué Morales'!D556</f>
        <v/>
      </c>
      <c r="E412" s="12" t="str">
        <f>'Josué Morales'!E556</f>
        <v/>
      </c>
      <c r="F412" s="108" t="str">
        <f>'Josué Morales'!F556</f>
        <v/>
      </c>
      <c r="G412" s="48" t="str">
        <f>'Josué Morales'!G556</f>
        <v/>
      </c>
      <c r="H412" s="49" t="str">
        <f>'Josué Morales'!H556</f>
        <v/>
      </c>
      <c r="I412" s="21" t="str">
        <f>'Josué Morales'!I556</f>
        <v/>
      </c>
      <c r="J412" s="108" t="str">
        <f>'Josué Morales'!J556</f>
        <v/>
      </c>
      <c r="K412" s="12" t="str">
        <f>'Josué Morales'!K556</f>
        <v/>
      </c>
    </row>
    <row r="413" ht="22.5" customHeight="1">
      <c r="A413" s="107" t="str">
        <f>'Josué Morales'!A557</f>
        <v/>
      </c>
      <c r="B413" s="12" t="str">
        <f>'Josué Morales'!B557</f>
        <v/>
      </c>
      <c r="C413" s="12" t="str">
        <f>'Josué Morales'!C557</f>
        <v/>
      </c>
      <c r="D413" s="12" t="str">
        <f>'Josué Morales'!D557</f>
        <v/>
      </c>
      <c r="E413" s="12" t="str">
        <f>'Josué Morales'!E557</f>
        <v/>
      </c>
      <c r="F413" s="108" t="str">
        <f>'Josué Morales'!F557</f>
        <v/>
      </c>
      <c r="G413" s="48" t="str">
        <f>'Josué Morales'!G557</f>
        <v/>
      </c>
      <c r="H413" s="49" t="str">
        <f>'Josué Morales'!H557</f>
        <v/>
      </c>
      <c r="I413" s="21" t="str">
        <f>'Josué Morales'!I557</f>
        <v/>
      </c>
      <c r="J413" s="108" t="str">
        <f>'Josué Morales'!J557</f>
        <v/>
      </c>
      <c r="K413" s="12" t="str">
        <f>'Josué Morales'!K557</f>
        <v/>
      </c>
    </row>
    <row r="414" ht="22.5" customHeight="1">
      <c r="A414" s="107" t="str">
        <f>'Josué Morales'!A558</f>
        <v/>
      </c>
      <c r="B414" s="12" t="str">
        <f>'Josué Morales'!B558</f>
        <v/>
      </c>
      <c r="C414" s="12" t="str">
        <f>'Josué Morales'!C558</f>
        <v/>
      </c>
      <c r="D414" s="12" t="str">
        <f>'Josué Morales'!D558</f>
        <v/>
      </c>
      <c r="E414" s="12" t="str">
        <f>'Josué Morales'!E558</f>
        <v/>
      </c>
      <c r="F414" s="108" t="str">
        <f>'Josué Morales'!F558</f>
        <v/>
      </c>
      <c r="G414" s="48" t="str">
        <f>'Josué Morales'!G558</f>
        <v/>
      </c>
      <c r="H414" s="49" t="str">
        <f>'Josué Morales'!H558</f>
        <v/>
      </c>
      <c r="I414" s="21" t="str">
        <f>'Josué Morales'!I558</f>
        <v/>
      </c>
      <c r="J414" s="108" t="str">
        <f>'Josué Morales'!J558</f>
        <v/>
      </c>
      <c r="K414" s="12" t="str">
        <f>'Josué Morales'!K558</f>
        <v/>
      </c>
    </row>
    <row r="415" ht="22.5" customHeight="1">
      <c r="A415" s="107" t="str">
        <f>'Josué Morales'!A559</f>
        <v/>
      </c>
      <c r="B415" s="12" t="str">
        <f>'Josué Morales'!B559</f>
        <v/>
      </c>
      <c r="C415" s="12" t="str">
        <f>'Josué Morales'!C559</f>
        <v/>
      </c>
      <c r="D415" s="12" t="str">
        <f>'Josué Morales'!D559</f>
        <v/>
      </c>
      <c r="E415" s="12" t="str">
        <f>'Josué Morales'!E559</f>
        <v/>
      </c>
      <c r="F415" s="108" t="str">
        <f>'Josué Morales'!F559</f>
        <v/>
      </c>
      <c r="G415" s="48" t="str">
        <f>'Josué Morales'!G559</f>
        <v/>
      </c>
      <c r="H415" s="49" t="str">
        <f>'Josué Morales'!H559</f>
        <v/>
      </c>
      <c r="I415" s="21" t="str">
        <f>'Josué Morales'!I559</f>
        <v/>
      </c>
      <c r="J415" s="108" t="str">
        <f>'Josué Morales'!J559</f>
        <v/>
      </c>
      <c r="K415" s="12" t="str">
        <f>'Josué Morales'!K559</f>
        <v/>
      </c>
    </row>
    <row r="416" ht="22.5" customHeight="1">
      <c r="A416" s="107" t="str">
        <f>'Josué Morales'!A560</f>
        <v/>
      </c>
      <c r="B416" s="12" t="str">
        <f>'Josué Morales'!B560</f>
        <v/>
      </c>
      <c r="C416" s="12" t="str">
        <f>'Josué Morales'!C560</f>
        <v/>
      </c>
      <c r="D416" s="12" t="str">
        <f>'Josué Morales'!D560</f>
        <v/>
      </c>
      <c r="E416" s="12" t="str">
        <f>'Josué Morales'!E560</f>
        <v/>
      </c>
      <c r="F416" s="108" t="str">
        <f>'Josué Morales'!F560</f>
        <v/>
      </c>
      <c r="G416" s="48" t="str">
        <f>'Josué Morales'!G560</f>
        <v/>
      </c>
      <c r="H416" s="49" t="str">
        <f>'Josué Morales'!H560</f>
        <v/>
      </c>
      <c r="I416" s="21" t="str">
        <f>'Josué Morales'!I560</f>
        <v/>
      </c>
      <c r="J416" s="108" t="str">
        <f>'Josué Morales'!J560</f>
        <v/>
      </c>
      <c r="K416" s="12" t="str">
        <f>'Josué Morales'!K560</f>
        <v/>
      </c>
    </row>
    <row r="417" ht="22.5" customHeight="1">
      <c r="A417" s="107" t="str">
        <f>'Josué Morales'!A561</f>
        <v/>
      </c>
      <c r="B417" s="12" t="str">
        <f>'Josué Morales'!B561</f>
        <v/>
      </c>
      <c r="C417" s="12" t="str">
        <f>'Josué Morales'!C561</f>
        <v/>
      </c>
      <c r="D417" s="12" t="str">
        <f>'Josué Morales'!D561</f>
        <v/>
      </c>
      <c r="E417" s="12" t="str">
        <f>'Josué Morales'!E561</f>
        <v/>
      </c>
      <c r="F417" s="108" t="str">
        <f>'Josué Morales'!F561</f>
        <v/>
      </c>
      <c r="G417" s="48" t="str">
        <f>'Josué Morales'!G561</f>
        <v/>
      </c>
      <c r="H417" s="49" t="str">
        <f>'Josué Morales'!H561</f>
        <v/>
      </c>
      <c r="I417" s="21" t="str">
        <f>'Josué Morales'!I561</f>
        <v/>
      </c>
      <c r="J417" s="108" t="str">
        <f>'Josué Morales'!J561</f>
        <v/>
      </c>
      <c r="K417" s="12" t="str">
        <f>'Josué Morales'!K561</f>
        <v/>
      </c>
    </row>
    <row r="418" ht="22.5" customHeight="1">
      <c r="A418" s="107" t="str">
        <f>'Josué Morales'!A562</f>
        <v/>
      </c>
      <c r="B418" s="12" t="str">
        <f>'Josué Morales'!B562</f>
        <v/>
      </c>
      <c r="C418" s="12" t="str">
        <f>'Josué Morales'!C562</f>
        <v/>
      </c>
      <c r="D418" s="12" t="str">
        <f>'Josué Morales'!D562</f>
        <v/>
      </c>
      <c r="E418" s="12" t="str">
        <f>'Josué Morales'!E562</f>
        <v/>
      </c>
      <c r="F418" s="108" t="str">
        <f>'Josué Morales'!F562</f>
        <v/>
      </c>
      <c r="G418" s="48" t="str">
        <f>'Josué Morales'!G562</f>
        <v/>
      </c>
      <c r="H418" s="49" t="str">
        <f>'Josué Morales'!H562</f>
        <v/>
      </c>
      <c r="I418" s="21" t="str">
        <f>'Josué Morales'!I562</f>
        <v/>
      </c>
      <c r="J418" s="108" t="str">
        <f>'Josué Morales'!J562</f>
        <v/>
      </c>
      <c r="K418" s="12" t="str">
        <f>'Josué Morales'!K562</f>
        <v/>
      </c>
    </row>
    <row r="419" ht="22.5" customHeight="1">
      <c r="A419" s="107" t="str">
        <f>'Josué Morales'!A563</f>
        <v/>
      </c>
      <c r="B419" s="12" t="str">
        <f>'Josué Morales'!B563</f>
        <v/>
      </c>
      <c r="C419" s="12" t="str">
        <f>'Josué Morales'!C563</f>
        <v/>
      </c>
      <c r="D419" s="12" t="str">
        <f>'Josué Morales'!D563</f>
        <v/>
      </c>
      <c r="E419" s="12" t="str">
        <f>'Josué Morales'!E563</f>
        <v/>
      </c>
      <c r="F419" s="108" t="str">
        <f>'Josué Morales'!F563</f>
        <v/>
      </c>
      <c r="G419" s="48" t="str">
        <f>'Josué Morales'!G563</f>
        <v/>
      </c>
      <c r="H419" s="49" t="str">
        <f>'Josué Morales'!H563</f>
        <v/>
      </c>
      <c r="I419" s="21" t="str">
        <f>'Josué Morales'!I563</f>
        <v/>
      </c>
      <c r="J419" s="108" t="str">
        <f>'Josué Morales'!J563</f>
        <v/>
      </c>
      <c r="K419" s="12" t="str">
        <f>'Josué Morales'!K563</f>
        <v/>
      </c>
    </row>
    <row r="420" ht="22.5" customHeight="1">
      <c r="A420" s="107" t="str">
        <f>'Josué Morales'!A564</f>
        <v/>
      </c>
      <c r="B420" s="12" t="str">
        <f>'Josué Morales'!B564</f>
        <v/>
      </c>
      <c r="C420" s="12" t="str">
        <f>'Josué Morales'!C564</f>
        <v/>
      </c>
      <c r="D420" s="12" t="str">
        <f>'Josué Morales'!D564</f>
        <v/>
      </c>
      <c r="E420" s="12" t="str">
        <f>'Josué Morales'!E564</f>
        <v/>
      </c>
      <c r="F420" s="108" t="str">
        <f>'Josué Morales'!F564</f>
        <v/>
      </c>
      <c r="G420" s="48" t="str">
        <f>'Josué Morales'!G564</f>
        <v/>
      </c>
      <c r="H420" s="49" t="str">
        <f>'Josué Morales'!H564</f>
        <v/>
      </c>
      <c r="I420" s="21" t="str">
        <f>'Josué Morales'!I564</f>
        <v/>
      </c>
      <c r="J420" s="108" t="str">
        <f>'Josué Morales'!J564</f>
        <v/>
      </c>
      <c r="K420" s="12" t="str">
        <f>'Josué Morales'!K564</f>
        <v/>
      </c>
    </row>
    <row r="421" ht="22.5" customHeight="1">
      <c r="A421" s="107" t="str">
        <f>'Josué Morales'!A565</f>
        <v/>
      </c>
      <c r="B421" s="12" t="str">
        <f>'Josué Morales'!B565</f>
        <v/>
      </c>
      <c r="C421" s="12" t="str">
        <f>'Josué Morales'!C565</f>
        <v/>
      </c>
      <c r="D421" s="12" t="str">
        <f>'Josué Morales'!D565</f>
        <v/>
      </c>
      <c r="E421" s="12" t="str">
        <f>'Josué Morales'!E565</f>
        <v/>
      </c>
      <c r="F421" s="108" t="str">
        <f>'Josué Morales'!F565</f>
        <v/>
      </c>
      <c r="G421" s="48" t="str">
        <f>'Josué Morales'!G565</f>
        <v/>
      </c>
      <c r="H421" s="49" t="str">
        <f>'Josué Morales'!H565</f>
        <v/>
      </c>
      <c r="I421" s="21" t="str">
        <f>'Josué Morales'!I565</f>
        <v/>
      </c>
      <c r="J421" s="108" t="str">
        <f>'Josué Morales'!J565</f>
        <v/>
      </c>
      <c r="K421" s="12" t="str">
        <f>'Josué Morales'!K565</f>
        <v/>
      </c>
    </row>
    <row r="422" ht="22.5" customHeight="1">
      <c r="A422" s="107" t="str">
        <f>'Josué Morales'!A566</f>
        <v/>
      </c>
      <c r="B422" s="12" t="str">
        <f>'Josué Morales'!B566</f>
        <v/>
      </c>
      <c r="C422" s="12" t="str">
        <f>'Josué Morales'!C566</f>
        <v/>
      </c>
      <c r="D422" s="12" t="str">
        <f>'Josué Morales'!D566</f>
        <v/>
      </c>
      <c r="E422" s="12" t="str">
        <f>'Josué Morales'!E566</f>
        <v/>
      </c>
      <c r="F422" s="108" t="str">
        <f>'Josué Morales'!F566</f>
        <v/>
      </c>
      <c r="G422" s="48" t="str">
        <f>'Josué Morales'!G566</f>
        <v/>
      </c>
      <c r="H422" s="49" t="str">
        <f>'Josué Morales'!H566</f>
        <v/>
      </c>
      <c r="I422" s="21" t="str">
        <f>'Josué Morales'!I566</f>
        <v/>
      </c>
      <c r="J422" s="108" t="str">
        <f>'Josué Morales'!J566</f>
        <v/>
      </c>
      <c r="K422" s="12" t="str">
        <f>'Josué Morales'!K566</f>
        <v/>
      </c>
    </row>
    <row r="423" ht="22.5" customHeight="1">
      <c r="A423" s="107" t="str">
        <f>'Josué Morales'!A567</f>
        <v/>
      </c>
      <c r="B423" s="12" t="str">
        <f>'Josué Morales'!B567</f>
        <v/>
      </c>
      <c r="C423" s="12" t="str">
        <f>'Josué Morales'!C567</f>
        <v/>
      </c>
      <c r="D423" s="12" t="str">
        <f>'Josué Morales'!D567</f>
        <v/>
      </c>
      <c r="E423" s="12" t="str">
        <f>'Josué Morales'!E567</f>
        <v/>
      </c>
      <c r="F423" s="108" t="str">
        <f>'Josué Morales'!F567</f>
        <v/>
      </c>
      <c r="G423" s="48" t="str">
        <f>'Josué Morales'!G567</f>
        <v/>
      </c>
      <c r="H423" s="49" t="str">
        <f>'Josué Morales'!H567</f>
        <v/>
      </c>
      <c r="I423" s="21" t="str">
        <f>'Josué Morales'!I567</f>
        <v/>
      </c>
      <c r="J423" s="108" t="str">
        <f>'Josué Morales'!J567</f>
        <v/>
      </c>
      <c r="K423" s="12" t="str">
        <f>'Josué Morales'!K567</f>
        <v/>
      </c>
    </row>
    <row r="424" ht="22.5" customHeight="1">
      <c r="A424" s="107" t="str">
        <f>'Josué Morales'!A568</f>
        <v/>
      </c>
      <c r="B424" s="12" t="str">
        <f>'Josué Morales'!B568</f>
        <v/>
      </c>
      <c r="C424" s="12" t="str">
        <f>'Josué Morales'!C568</f>
        <v/>
      </c>
      <c r="D424" s="12" t="str">
        <f>'Josué Morales'!D568</f>
        <v/>
      </c>
      <c r="E424" s="12" t="str">
        <f>'Josué Morales'!E568</f>
        <v/>
      </c>
      <c r="F424" s="108" t="str">
        <f>'Josué Morales'!F568</f>
        <v/>
      </c>
      <c r="G424" s="48" t="str">
        <f>'Josué Morales'!G568</f>
        <v/>
      </c>
      <c r="H424" s="49" t="str">
        <f>'Josué Morales'!H568</f>
        <v/>
      </c>
      <c r="I424" s="21" t="str">
        <f>'Josué Morales'!I568</f>
        <v/>
      </c>
      <c r="J424" s="108" t="str">
        <f>'Josué Morales'!J568</f>
        <v/>
      </c>
      <c r="K424" s="12" t="str">
        <f>'Josué Morales'!K568</f>
        <v/>
      </c>
    </row>
    <row r="425" ht="22.5" customHeight="1">
      <c r="A425" s="107" t="str">
        <f>'Josué Morales'!A569</f>
        <v/>
      </c>
      <c r="B425" s="12" t="str">
        <f>'Josué Morales'!B569</f>
        <v/>
      </c>
      <c r="C425" s="12" t="str">
        <f>'Josué Morales'!C569</f>
        <v/>
      </c>
      <c r="D425" s="12" t="str">
        <f>'Josué Morales'!D569</f>
        <v/>
      </c>
      <c r="E425" s="12" t="str">
        <f>'Josué Morales'!E569</f>
        <v/>
      </c>
      <c r="F425" s="108" t="str">
        <f>'Josué Morales'!F569</f>
        <v/>
      </c>
      <c r="G425" s="48" t="str">
        <f>'Josué Morales'!G569</f>
        <v/>
      </c>
      <c r="H425" s="49" t="str">
        <f>'Josué Morales'!H569</f>
        <v/>
      </c>
      <c r="I425" s="21" t="str">
        <f>'Josué Morales'!I569</f>
        <v/>
      </c>
      <c r="J425" s="108" t="str">
        <f>'Josué Morales'!J569</f>
        <v/>
      </c>
      <c r="K425" s="12" t="str">
        <f>'Josué Morales'!K569</f>
        <v/>
      </c>
    </row>
    <row r="426" ht="22.5" customHeight="1">
      <c r="A426" s="107" t="str">
        <f>'Josué Morales'!A570</f>
        <v/>
      </c>
      <c r="B426" s="12" t="str">
        <f>'Josué Morales'!B570</f>
        <v/>
      </c>
      <c r="C426" s="12" t="str">
        <f>'Josué Morales'!C570</f>
        <v/>
      </c>
      <c r="D426" s="12" t="str">
        <f>'Josué Morales'!D570</f>
        <v/>
      </c>
      <c r="E426" s="12" t="str">
        <f>'Josué Morales'!E570</f>
        <v/>
      </c>
      <c r="F426" s="108" t="str">
        <f>'Josué Morales'!F570</f>
        <v/>
      </c>
      <c r="G426" s="48" t="str">
        <f>'Josué Morales'!G570</f>
        <v/>
      </c>
      <c r="H426" s="49" t="str">
        <f>'Josué Morales'!H570</f>
        <v/>
      </c>
      <c r="I426" s="21" t="str">
        <f>'Josué Morales'!I570</f>
        <v/>
      </c>
      <c r="J426" s="108" t="str">
        <f>'Josué Morales'!J570</f>
        <v/>
      </c>
      <c r="K426" s="12" t="str">
        <f>'Josué Morales'!K570</f>
        <v/>
      </c>
    </row>
    <row r="427" ht="22.5" customHeight="1">
      <c r="A427" s="107" t="str">
        <f>'Josué Morales'!A571</f>
        <v/>
      </c>
      <c r="B427" s="12" t="str">
        <f>'Josué Morales'!B571</f>
        <v/>
      </c>
      <c r="C427" s="12" t="str">
        <f>'Josué Morales'!C571</f>
        <v/>
      </c>
      <c r="D427" s="12" t="str">
        <f>'Josué Morales'!D571</f>
        <v/>
      </c>
      <c r="E427" s="12" t="str">
        <f>'Josué Morales'!E571</f>
        <v/>
      </c>
      <c r="F427" s="108" t="str">
        <f>'Josué Morales'!F571</f>
        <v/>
      </c>
      <c r="G427" s="48" t="str">
        <f>'Josué Morales'!G571</f>
        <v/>
      </c>
      <c r="H427" s="49" t="str">
        <f>'Josué Morales'!H571</f>
        <v/>
      </c>
      <c r="I427" s="21" t="str">
        <f>'Josué Morales'!I571</f>
        <v/>
      </c>
      <c r="J427" s="108" t="str">
        <f>'Josué Morales'!J571</f>
        <v/>
      </c>
      <c r="K427" s="12" t="str">
        <f>'Josué Morales'!K571</f>
        <v/>
      </c>
    </row>
    <row r="428" ht="22.5" customHeight="1">
      <c r="A428" s="107" t="str">
        <f>'Josué Morales'!A572</f>
        <v/>
      </c>
      <c r="B428" s="12" t="str">
        <f>'Josué Morales'!B572</f>
        <v/>
      </c>
      <c r="C428" s="12" t="str">
        <f>'Josué Morales'!C572</f>
        <v/>
      </c>
      <c r="D428" s="12" t="str">
        <f>'Josué Morales'!D572</f>
        <v/>
      </c>
      <c r="E428" s="12" t="str">
        <f>'Josué Morales'!E572</f>
        <v/>
      </c>
      <c r="F428" s="108" t="str">
        <f>'Josué Morales'!F572</f>
        <v/>
      </c>
      <c r="G428" s="48" t="str">
        <f>'Josué Morales'!G572</f>
        <v/>
      </c>
      <c r="H428" s="49" t="str">
        <f>'Josué Morales'!H572</f>
        <v/>
      </c>
      <c r="I428" s="21" t="str">
        <f>'Josué Morales'!I572</f>
        <v/>
      </c>
      <c r="J428" s="108" t="str">
        <f>'Josué Morales'!J572</f>
        <v/>
      </c>
      <c r="K428" s="12" t="str">
        <f>'Josué Morales'!K572</f>
        <v/>
      </c>
    </row>
    <row r="429" ht="22.5" customHeight="1">
      <c r="A429" s="107" t="str">
        <f>'Josué Morales'!A573</f>
        <v/>
      </c>
      <c r="B429" s="12" t="str">
        <f>'Josué Morales'!B573</f>
        <v/>
      </c>
      <c r="C429" s="12" t="str">
        <f>'Josué Morales'!C573</f>
        <v/>
      </c>
      <c r="D429" s="12" t="str">
        <f>'Josué Morales'!D573</f>
        <v/>
      </c>
      <c r="E429" s="12" t="str">
        <f>'Josué Morales'!E573</f>
        <v/>
      </c>
      <c r="F429" s="108" t="str">
        <f>'Josué Morales'!F573</f>
        <v/>
      </c>
      <c r="G429" s="48" t="str">
        <f>'Josué Morales'!G573</f>
        <v/>
      </c>
      <c r="H429" s="49" t="str">
        <f>'Josué Morales'!H573</f>
        <v/>
      </c>
      <c r="I429" s="21" t="str">
        <f>'Josué Morales'!I573</f>
        <v/>
      </c>
      <c r="J429" s="108" t="str">
        <f>'Josué Morales'!J573</f>
        <v/>
      </c>
      <c r="K429" s="12" t="str">
        <f>'Josué Morales'!K573</f>
        <v/>
      </c>
    </row>
  </sheetData>
  <dataValidations>
    <dataValidation type="list" allowBlank="1" sqref="F2:F429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429">
      <formula1>OR(NOT(ISERROR(DATEVALUE(G2))), AND(ISNUMBER(G2), LEFT(CELL("format", G2))="D"))</formula1>
    </dataValidation>
    <dataValidation type="custom" allowBlank="1" showDropDown="1" sqref="H2:I429">
      <formula1>AND(ISNUMBER(H2),(NOT(OR(NOT(ISERROR(DATEVALUE(H2))), AND(ISNUMBER(H2), LEFT(CELL("format", H2))="D")))))</formula1>
    </dataValidation>
    <dataValidation type="list" allowBlank="1" sqref="J2:J429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429 E2:E429 K2:K429"/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25.38"/>
    <col customWidth="1" min="3" max="3" width="20.63"/>
    <col customWidth="1" min="4" max="4" width="18.88"/>
    <col customWidth="1" min="5" max="5" width="30.88"/>
    <col customWidth="1" min="6" max="6" width="37.75"/>
    <col customWidth="1" min="7" max="7" width="27.38"/>
    <col customWidth="1" min="8" max="8" width="24.75"/>
    <col customWidth="1" min="9" max="9" width="25.13"/>
    <col customWidth="1" min="10" max="10" width="28.63"/>
    <col customWidth="1" min="11" max="11" width="23.25"/>
  </cols>
  <sheetData>
    <row r="1" ht="22.5" customHeight="1">
      <c r="A1" s="14" t="s">
        <v>23</v>
      </c>
      <c r="B1" s="14" t="s">
        <v>24</v>
      </c>
      <c r="C1" s="14" t="s">
        <v>25</v>
      </c>
      <c r="D1" s="14" t="s">
        <v>26</v>
      </c>
      <c r="E1" s="14" t="s">
        <v>27</v>
      </c>
      <c r="F1" s="14" t="s">
        <v>28</v>
      </c>
      <c r="G1" s="14" t="s">
        <v>29</v>
      </c>
      <c r="H1" s="14" t="s">
        <v>30</v>
      </c>
      <c r="I1" s="14" t="s">
        <v>31</v>
      </c>
      <c r="J1" s="14" t="s">
        <v>32</v>
      </c>
      <c r="K1" s="14" t="s">
        <v>33</v>
      </c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</row>
    <row r="2" ht="22.5" customHeight="1">
      <c r="A2" s="16" t="s">
        <v>456</v>
      </c>
      <c r="B2" s="16" t="s">
        <v>1183</v>
      </c>
      <c r="C2" s="16" t="s">
        <v>1184</v>
      </c>
      <c r="D2" s="97" t="s">
        <v>1185</v>
      </c>
      <c r="E2" s="98"/>
      <c r="F2" s="99" t="s">
        <v>140</v>
      </c>
      <c r="G2" s="112">
        <v>45966.0</v>
      </c>
      <c r="H2" s="101">
        <v>15000.0</v>
      </c>
      <c r="I2" s="102">
        <v>0.75</v>
      </c>
      <c r="J2" s="99" t="s">
        <v>676</v>
      </c>
      <c r="K2" s="103" t="s">
        <v>1186</v>
      </c>
    </row>
    <row r="3" ht="22.5" customHeight="1">
      <c r="A3" s="16" t="s">
        <v>482</v>
      </c>
      <c r="B3" s="66" t="s">
        <v>1251</v>
      </c>
      <c r="C3" s="67" t="s">
        <v>1252</v>
      </c>
      <c r="D3" s="68"/>
      <c r="E3" s="68"/>
      <c r="F3" s="113" t="s">
        <v>140</v>
      </c>
      <c r="G3" s="83"/>
      <c r="H3" s="71">
        <v>99000.0</v>
      </c>
      <c r="I3" s="72"/>
      <c r="J3" s="76" t="s">
        <v>97</v>
      </c>
      <c r="K3" s="67" t="s">
        <v>668</v>
      </c>
    </row>
    <row r="4" ht="22.5" customHeight="1">
      <c r="A4" s="16" t="s">
        <v>60</v>
      </c>
      <c r="B4" s="17" t="s">
        <v>61</v>
      </c>
      <c r="C4" s="17" t="s">
        <v>62</v>
      </c>
      <c r="D4" s="18"/>
      <c r="E4" s="19"/>
      <c r="F4" s="9" t="s">
        <v>63</v>
      </c>
      <c r="G4" s="20">
        <v>45273.0</v>
      </c>
      <c r="H4" s="11">
        <v>466417.0</v>
      </c>
      <c r="I4" s="21"/>
      <c r="J4" s="22" t="s">
        <v>48</v>
      </c>
      <c r="K4" s="23" t="s">
        <v>40</v>
      </c>
    </row>
    <row r="5" ht="22.5" customHeight="1">
      <c r="A5" s="16" t="s">
        <v>64</v>
      </c>
      <c r="B5" s="17" t="s">
        <v>65</v>
      </c>
      <c r="C5" s="17" t="s">
        <v>66</v>
      </c>
      <c r="D5" s="18"/>
      <c r="E5" s="19"/>
      <c r="F5" s="9" t="s">
        <v>67</v>
      </c>
      <c r="G5" s="20">
        <v>45686.0</v>
      </c>
      <c r="H5" s="11">
        <v>738929.43</v>
      </c>
      <c r="I5" s="21"/>
      <c r="J5" s="22" t="s">
        <v>48</v>
      </c>
      <c r="K5" s="23" t="s">
        <v>40</v>
      </c>
    </row>
    <row r="6" ht="22.5" customHeight="1">
      <c r="A6" s="16" t="s">
        <v>68</v>
      </c>
      <c r="B6" s="17" t="s">
        <v>69</v>
      </c>
      <c r="C6" s="17" t="s">
        <v>70</v>
      </c>
      <c r="D6" s="18"/>
      <c r="E6" s="19"/>
      <c r="F6" s="9" t="s">
        <v>47</v>
      </c>
      <c r="G6" s="20">
        <v>45839.0</v>
      </c>
      <c r="H6" s="11">
        <v>132870.0</v>
      </c>
      <c r="I6" s="21"/>
      <c r="J6" s="22" t="s">
        <v>39</v>
      </c>
      <c r="K6" s="23" t="s">
        <v>40</v>
      </c>
    </row>
    <row r="7" ht="22.5" customHeight="1">
      <c r="A7" s="16" t="s">
        <v>71</v>
      </c>
      <c r="B7" s="17" t="s">
        <v>72</v>
      </c>
      <c r="C7" s="17" t="s">
        <v>73</v>
      </c>
      <c r="D7" s="18"/>
      <c r="E7" s="19"/>
      <c r="F7" s="9" t="s">
        <v>63</v>
      </c>
      <c r="G7" s="20">
        <v>45434.0</v>
      </c>
      <c r="H7" s="11">
        <v>229210.1</v>
      </c>
      <c r="I7" s="21"/>
      <c r="J7" s="22" t="s">
        <v>39</v>
      </c>
      <c r="K7" s="23" t="s">
        <v>40</v>
      </c>
    </row>
    <row r="8" ht="22.5" customHeight="1">
      <c r="A8" s="16" t="s">
        <v>74</v>
      </c>
      <c r="B8" s="17" t="s">
        <v>75</v>
      </c>
      <c r="C8" s="17" t="s">
        <v>76</v>
      </c>
      <c r="D8" s="18"/>
      <c r="E8" s="19"/>
      <c r="F8" s="9" t="s">
        <v>63</v>
      </c>
      <c r="G8" s="20">
        <v>45400.0</v>
      </c>
      <c r="H8" s="11">
        <v>471970.5</v>
      </c>
      <c r="I8" s="21"/>
      <c r="J8" s="22" t="s">
        <v>39</v>
      </c>
      <c r="K8" s="23" t="s">
        <v>40</v>
      </c>
    </row>
    <row r="9" ht="22.5" customHeight="1">
      <c r="A9" s="16" t="s">
        <v>77</v>
      </c>
      <c r="B9" s="17" t="s">
        <v>78</v>
      </c>
      <c r="C9" s="17" t="s">
        <v>79</v>
      </c>
      <c r="D9" s="18"/>
      <c r="E9" s="19"/>
      <c r="F9" s="9" t="s">
        <v>47</v>
      </c>
      <c r="G9" s="20">
        <v>46305.0</v>
      </c>
      <c r="H9" s="11">
        <v>459039.0</v>
      </c>
      <c r="I9" s="21"/>
      <c r="J9" s="22" t="s">
        <v>48</v>
      </c>
      <c r="K9" s="23" t="s">
        <v>40</v>
      </c>
    </row>
    <row r="10" ht="22.5" customHeight="1">
      <c r="A10" s="16" t="s">
        <v>80</v>
      </c>
      <c r="B10" s="17" t="s">
        <v>81</v>
      </c>
      <c r="C10" s="17" t="s">
        <v>82</v>
      </c>
      <c r="D10" s="18"/>
      <c r="E10" s="19"/>
      <c r="F10" s="9" t="s">
        <v>67</v>
      </c>
      <c r="G10" s="20">
        <v>45403.0</v>
      </c>
      <c r="H10" s="11">
        <v>379000.0</v>
      </c>
      <c r="I10" s="21"/>
      <c r="J10" s="22" t="s">
        <v>48</v>
      </c>
      <c r="K10" s="23" t="s">
        <v>40</v>
      </c>
    </row>
    <row r="11" ht="22.5" customHeight="1">
      <c r="A11" s="16" t="s">
        <v>83</v>
      </c>
      <c r="B11" s="24" t="s">
        <v>84</v>
      </c>
      <c r="C11" s="24" t="s">
        <v>85</v>
      </c>
      <c r="D11" s="25"/>
      <c r="E11" s="26"/>
      <c r="F11" s="27" t="s">
        <v>55</v>
      </c>
      <c r="G11" s="28">
        <v>45553.0</v>
      </c>
      <c r="H11" s="29">
        <v>1594425.62</v>
      </c>
      <c r="I11" s="30"/>
      <c r="J11" s="31" t="s">
        <v>48</v>
      </c>
      <c r="K11" s="32" t="s">
        <v>40</v>
      </c>
    </row>
    <row r="12" ht="22.5" customHeight="1">
      <c r="A12" s="16" t="s">
        <v>86</v>
      </c>
      <c r="B12" s="33"/>
      <c r="C12" s="33" t="s">
        <v>87</v>
      </c>
      <c r="D12" s="34"/>
      <c r="E12" s="35"/>
      <c r="F12" s="114"/>
      <c r="G12" s="42"/>
      <c r="H12" s="43"/>
      <c r="I12" s="39"/>
      <c r="J12" s="44"/>
      <c r="K12" s="41" t="s">
        <v>40</v>
      </c>
    </row>
    <row r="13" ht="22.5" customHeight="1">
      <c r="A13" s="16" t="s">
        <v>88</v>
      </c>
      <c r="B13" s="33" t="s">
        <v>89</v>
      </c>
      <c r="C13" s="33" t="s">
        <v>90</v>
      </c>
      <c r="D13" s="34"/>
      <c r="E13" s="35"/>
      <c r="F13" s="36" t="s">
        <v>55</v>
      </c>
      <c r="G13" s="37">
        <v>45644.0</v>
      </c>
      <c r="H13" s="38">
        <v>310043.62</v>
      </c>
      <c r="I13" s="39"/>
      <c r="J13" s="40" t="s">
        <v>48</v>
      </c>
      <c r="K13" s="41" t="s">
        <v>40</v>
      </c>
    </row>
    <row r="14" ht="22.5" customHeight="1">
      <c r="A14" s="16" t="s">
        <v>485</v>
      </c>
      <c r="B14" s="115" t="s">
        <v>1253</v>
      </c>
      <c r="C14" s="116" t="s">
        <v>1254</v>
      </c>
      <c r="D14" s="117"/>
      <c r="E14" s="117"/>
      <c r="F14" s="118" t="s">
        <v>460</v>
      </c>
      <c r="G14" s="119">
        <v>45903.0</v>
      </c>
      <c r="H14" s="120">
        <v>380000.0</v>
      </c>
      <c r="I14" s="121"/>
      <c r="J14" s="122" t="s">
        <v>97</v>
      </c>
      <c r="K14" s="123" t="s">
        <v>668</v>
      </c>
    </row>
    <row r="15" ht="22.5" customHeight="1">
      <c r="A15" s="16" t="s">
        <v>91</v>
      </c>
      <c r="B15" s="33" t="s">
        <v>92</v>
      </c>
      <c r="C15" s="33" t="s">
        <v>93</v>
      </c>
      <c r="D15" s="34"/>
      <c r="E15" s="35"/>
      <c r="F15" s="36" t="s">
        <v>63</v>
      </c>
      <c r="G15" s="37">
        <v>45877.0</v>
      </c>
      <c r="H15" s="38">
        <v>545069.58</v>
      </c>
      <c r="I15" s="39"/>
      <c r="J15" s="40" t="s">
        <v>48</v>
      </c>
      <c r="K15" s="41" t="s">
        <v>40</v>
      </c>
    </row>
    <row r="16" ht="22.5" customHeight="1">
      <c r="A16" s="16" t="s">
        <v>94</v>
      </c>
      <c r="B16" s="24" t="s">
        <v>95</v>
      </c>
      <c r="C16" s="24" t="s">
        <v>96</v>
      </c>
      <c r="D16" s="25"/>
      <c r="E16" s="26"/>
      <c r="F16" s="27" t="s">
        <v>55</v>
      </c>
      <c r="G16" s="28">
        <v>45840.0</v>
      </c>
      <c r="H16" s="29">
        <v>269111.63</v>
      </c>
      <c r="I16" s="30"/>
      <c r="J16" s="31" t="s">
        <v>97</v>
      </c>
      <c r="K16" s="32" t="s">
        <v>40</v>
      </c>
    </row>
    <row r="17" ht="22.5" customHeight="1">
      <c r="A17" s="16" t="s">
        <v>98</v>
      </c>
      <c r="B17" s="33" t="s">
        <v>99</v>
      </c>
      <c r="C17" s="33" t="s">
        <v>100</v>
      </c>
      <c r="D17" s="34"/>
      <c r="E17" s="35"/>
      <c r="F17" s="36" t="s">
        <v>63</v>
      </c>
      <c r="G17" s="37">
        <v>45240.0</v>
      </c>
      <c r="H17" s="38">
        <v>1767423.04</v>
      </c>
      <c r="I17" s="39"/>
      <c r="J17" s="40" t="s">
        <v>97</v>
      </c>
      <c r="K17" s="41" t="s">
        <v>40</v>
      </c>
    </row>
    <row r="18" ht="22.5" customHeight="1">
      <c r="A18" s="16" t="s">
        <v>101</v>
      </c>
      <c r="B18" s="24" t="s">
        <v>102</v>
      </c>
      <c r="C18" s="24" t="s">
        <v>103</v>
      </c>
      <c r="D18" s="25"/>
      <c r="E18" s="26"/>
      <c r="F18" s="27" t="s">
        <v>63</v>
      </c>
      <c r="G18" s="28">
        <v>45364.0</v>
      </c>
      <c r="H18" s="29">
        <v>1363497.7</v>
      </c>
      <c r="I18" s="30"/>
      <c r="J18" s="31" t="s">
        <v>56</v>
      </c>
      <c r="K18" s="32" t="s">
        <v>40</v>
      </c>
    </row>
    <row r="19" ht="22.5" customHeight="1">
      <c r="A19" s="16" t="s">
        <v>104</v>
      </c>
      <c r="B19" s="33" t="s">
        <v>105</v>
      </c>
      <c r="C19" s="33" t="s">
        <v>106</v>
      </c>
      <c r="D19" s="34"/>
      <c r="E19" s="35"/>
      <c r="F19" s="36" t="s">
        <v>55</v>
      </c>
      <c r="G19" s="37">
        <v>45707.0</v>
      </c>
      <c r="H19" s="38">
        <v>377484.29</v>
      </c>
      <c r="I19" s="39"/>
      <c r="J19" s="40" t="s">
        <v>48</v>
      </c>
      <c r="K19" s="41" t="s">
        <v>40</v>
      </c>
    </row>
    <row r="20" ht="22.5" customHeight="1">
      <c r="A20" s="16" t="s">
        <v>107</v>
      </c>
      <c r="B20" s="24" t="s">
        <v>108</v>
      </c>
      <c r="C20" s="24" t="s">
        <v>109</v>
      </c>
      <c r="D20" s="25"/>
      <c r="E20" s="26"/>
      <c r="F20" s="27" t="s">
        <v>63</v>
      </c>
      <c r="G20" s="28">
        <v>45943.0</v>
      </c>
      <c r="H20" s="29">
        <v>460536.95</v>
      </c>
      <c r="I20" s="30"/>
      <c r="J20" s="31" t="s">
        <v>39</v>
      </c>
      <c r="K20" s="32" t="s">
        <v>40</v>
      </c>
    </row>
    <row r="21" ht="22.5" customHeight="1">
      <c r="A21" s="16" t="s">
        <v>110</v>
      </c>
      <c r="B21" s="33" t="s">
        <v>111</v>
      </c>
      <c r="C21" s="33" t="s">
        <v>112</v>
      </c>
      <c r="D21" s="34"/>
      <c r="E21" s="35"/>
      <c r="F21" s="36" t="s">
        <v>67</v>
      </c>
      <c r="G21" s="37">
        <v>45953.0</v>
      </c>
      <c r="H21" s="38">
        <v>391355.09</v>
      </c>
      <c r="I21" s="39"/>
      <c r="J21" s="40" t="s">
        <v>48</v>
      </c>
      <c r="K21" s="41" t="s">
        <v>40</v>
      </c>
    </row>
    <row r="22" ht="22.5" customHeight="1">
      <c r="A22" s="16" t="s">
        <v>113</v>
      </c>
      <c r="B22" s="24" t="s">
        <v>114</v>
      </c>
      <c r="C22" s="24" t="s">
        <v>115</v>
      </c>
      <c r="D22" s="25"/>
      <c r="E22" s="26"/>
      <c r="F22" s="27" t="s">
        <v>47</v>
      </c>
      <c r="G22" s="28">
        <v>45839.0</v>
      </c>
      <c r="H22" s="29">
        <v>468506.74</v>
      </c>
      <c r="I22" s="30"/>
      <c r="J22" s="31" t="s">
        <v>97</v>
      </c>
      <c r="K22" s="32" t="s">
        <v>40</v>
      </c>
    </row>
    <row r="23" ht="22.5" customHeight="1">
      <c r="A23" s="16" t="s">
        <v>116</v>
      </c>
      <c r="B23" s="33" t="s">
        <v>117</v>
      </c>
      <c r="C23" s="33" t="s">
        <v>118</v>
      </c>
      <c r="D23" s="34"/>
      <c r="E23" s="35"/>
      <c r="F23" s="36" t="s">
        <v>67</v>
      </c>
      <c r="G23" s="37">
        <v>45545.0</v>
      </c>
      <c r="H23" s="38">
        <v>2900000.0</v>
      </c>
      <c r="I23" s="39"/>
      <c r="J23" s="40" t="s">
        <v>56</v>
      </c>
      <c r="K23" s="41" t="s">
        <v>40</v>
      </c>
    </row>
    <row r="24" ht="22.5" customHeight="1">
      <c r="A24" s="16" t="s">
        <v>119</v>
      </c>
      <c r="B24" s="24"/>
      <c r="C24" s="24" t="s">
        <v>120</v>
      </c>
      <c r="D24" s="25"/>
      <c r="E24" s="26"/>
      <c r="F24" s="124"/>
      <c r="G24" s="45"/>
      <c r="H24" s="29">
        <v>405570.34</v>
      </c>
      <c r="I24" s="30"/>
      <c r="J24" s="46"/>
      <c r="K24" s="32" t="s">
        <v>40</v>
      </c>
    </row>
    <row r="25" ht="22.5" customHeight="1">
      <c r="A25" s="16" t="s">
        <v>488</v>
      </c>
      <c r="B25" s="125" t="s">
        <v>1255</v>
      </c>
      <c r="C25" s="126" t="s">
        <v>1256</v>
      </c>
      <c r="D25" s="127"/>
      <c r="E25" s="127"/>
      <c r="F25" s="128" t="s">
        <v>460</v>
      </c>
      <c r="G25" s="129">
        <v>45918.0</v>
      </c>
      <c r="H25" s="130">
        <v>200000.0</v>
      </c>
      <c r="I25" s="131"/>
      <c r="J25" s="132" t="s">
        <v>48</v>
      </c>
      <c r="K25" s="133" t="s">
        <v>668</v>
      </c>
    </row>
    <row r="26" ht="22.5" customHeight="1">
      <c r="A26" s="16" t="s">
        <v>121</v>
      </c>
      <c r="B26" s="24" t="s">
        <v>122</v>
      </c>
      <c r="C26" s="24" t="s">
        <v>123</v>
      </c>
      <c r="D26" s="25"/>
      <c r="E26" s="26"/>
      <c r="F26" s="27" t="s">
        <v>55</v>
      </c>
      <c r="G26" s="28">
        <v>45876.0</v>
      </c>
      <c r="H26" s="29">
        <v>319391.0</v>
      </c>
      <c r="I26" s="30"/>
      <c r="J26" s="31" t="s">
        <v>39</v>
      </c>
      <c r="K26" s="32" t="s">
        <v>40</v>
      </c>
    </row>
    <row r="27" ht="22.5" customHeight="1">
      <c r="A27" s="16" t="s">
        <v>124</v>
      </c>
      <c r="B27" s="33" t="s">
        <v>125</v>
      </c>
      <c r="C27" s="33" t="s">
        <v>126</v>
      </c>
      <c r="D27" s="34"/>
      <c r="E27" s="35"/>
      <c r="F27" s="36" t="s">
        <v>127</v>
      </c>
      <c r="G27" s="37">
        <v>45597.0</v>
      </c>
      <c r="H27" s="38">
        <v>900600.0</v>
      </c>
      <c r="I27" s="39"/>
      <c r="J27" s="40" t="s">
        <v>39</v>
      </c>
      <c r="K27" s="41" t="s">
        <v>40</v>
      </c>
    </row>
    <row r="28" ht="22.5" customHeight="1">
      <c r="A28" s="16" t="s">
        <v>128</v>
      </c>
      <c r="B28" s="24" t="s">
        <v>129</v>
      </c>
      <c r="C28" s="24" t="s">
        <v>130</v>
      </c>
      <c r="D28" s="25"/>
      <c r="E28" s="26"/>
      <c r="F28" s="27" t="s">
        <v>47</v>
      </c>
      <c r="G28" s="28">
        <v>45842.0</v>
      </c>
      <c r="H28" s="29">
        <v>711473.08</v>
      </c>
      <c r="I28" s="30"/>
      <c r="J28" s="31" t="s">
        <v>39</v>
      </c>
      <c r="K28" s="32" t="s">
        <v>40</v>
      </c>
    </row>
    <row r="29" ht="22.5" customHeight="1">
      <c r="A29" s="16" t="s">
        <v>131</v>
      </c>
      <c r="B29" s="33" t="s">
        <v>132</v>
      </c>
      <c r="C29" s="33" t="s">
        <v>133</v>
      </c>
      <c r="D29" s="34"/>
      <c r="E29" s="35"/>
      <c r="F29" s="36" t="s">
        <v>47</v>
      </c>
      <c r="G29" s="37">
        <v>45859.0</v>
      </c>
      <c r="H29" s="38">
        <v>463308.79</v>
      </c>
      <c r="I29" s="39"/>
      <c r="J29" s="40" t="s">
        <v>48</v>
      </c>
      <c r="K29" s="41" t="s">
        <v>40</v>
      </c>
    </row>
    <row r="30" ht="22.5" customHeight="1">
      <c r="A30" s="16" t="s">
        <v>134</v>
      </c>
      <c r="B30" s="24" t="s">
        <v>135</v>
      </c>
      <c r="C30" s="24" t="s">
        <v>136</v>
      </c>
      <c r="D30" s="25"/>
      <c r="E30" s="26"/>
      <c r="F30" s="27" t="s">
        <v>47</v>
      </c>
      <c r="G30" s="28">
        <v>45908.0</v>
      </c>
      <c r="H30" s="29">
        <v>1406233.35</v>
      </c>
      <c r="I30" s="30"/>
      <c r="J30" s="31" t="s">
        <v>48</v>
      </c>
      <c r="K30" s="32" t="s">
        <v>40</v>
      </c>
    </row>
    <row r="31" ht="22.5" customHeight="1">
      <c r="A31" s="16" t="s">
        <v>137</v>
      </c>
      <c r="B31" s="33" t="s">
        <v>138</v>
      </c>
      <c r="C31" s="33" t="s">
        <v>139</v>
      </c>
      <c r="D31" s="34"/>
      <c r="E31" s="35"/>
      <c r="F31" s="36" t="s">
        <v>140</v>
      </c>
      <c r="G31" s="37">
        <v>46034.0</v>
      </c>
      <c r="H31" s="38">
        <v>450695.99</v>
      </c>
      <c r="I31" s="39"/>
      <c r="J31" s="40" t="s">
        <v>48</v>
      </c>
      <c r="K31" s="41" t="s">
        <v>40</v>
      </c>
    </row>
    <row r="32" ht="22.5" customHeight="1">
      <c r="A32" s="16" t="s">
        <v>141</v>
      </c>
      <c r="B32" s="24" t="s">
        <v>142</v>
      </c>
      <c r="C32" s="24" t="s">
        <v>143</v>
      </c>
      <c r="D32" s="25"/>
      <c r="E32" s="26"/>
      <c r="F32" s="27" t="s">
        <v>63</v>
      </c>
      <c r="G32" s="28">
        <v>45719.0</v>
      </c>
      <c r="H32" s="29">
        <v>395215.0</v>
      </c>
      <c r="I32" s="30"/>
      <c r="J32" s="31" t="s">
        <v>48</v>
      </c>
      <c r="K32" s="32" t="s">
        <v>40</v>
      </c>
    </row>
    <row r="33" ht="22.5" customHeight="1">
      <c r="A33" s="16" t="s">
        <v>144</v>
      </c>
      <c r="B33" s="33" t="s">
        <v>145</v>
      </c>
      <c r="C33" s="33" t="s">
        <v>146</v>
      </c>
      <c r="D33" s="34"/>
      <c r="E33" s="35"/>
      <c r="F33" s="36" t="s">
        <v>63</v>
      </c>
      <c r="G33" s="37">
        <v>45202.0</v>
      </c>
      <c r="H33" s="38">
        <v>379615.16</v>
      </c>
      <c r="I33" s="39"/>
      <c r="J33" s="40" t="s">
        <v>56</v>
      </c>
      <c r="K33" s="41" t="s">
        <v>40</v>
      </c>
    </row>
    <row r="34" ht="22.5" customHeight="1">
      <c r="A34" s="16" t="s">
        <v>147</v>
      </c>
      <c r="B34" s="24" t="s">
        <v>148</v>
      </c>
      <c r="C34" s="24" t="s">
        <v>149</v>
      </c>
      <c r="D34" s="25"/>
      <c r="E34" s="26"/>
      <c r="F34" s="27" t="s">
        <v>67</v>
      </c>
      <c r="G34" s="28">
        <v>45999.0</v>
      </c>
      <c r="H34" s="29">
        <v>318739.23</v>
      </c>
      <c r="I34" s="30"/>
      <c r="J34" s="31" t="s">
        <v>39</v>
      </c>
      <c r="K34" s="32" t="s">
        <v>40</v>
      </c>
    </row>
    <row r="35" ht="22.5" customHeight="1">
      <c r="A35" s="16" t="s">
        <v>150</v>
      </c>
      <c r="B35" s="33" t="s">
        <v>151</v>
      </c>
      <c r="C35" s="33" t="s">
        <v>152</v>
      </c>
      <c r="D35" s="34"/>
      <c r="E35" s="35"/>
      <c r="F35" s="36" t="s">
        <v>47</v>
      </c>
      <c r="G35" s="37">
        <v>45944.0</v>
      </c>
      <c r="H35" s="38">
        <v>75993.23</v>
      </c>
      <c r="I35" s="39"/>
      <c r="J35" s="40" t="s">
        <v>48</v>
      </c>
      <c r="K35" s="41" t="s">
        <v>40</v>
      </c>
    </row>
    <row r="36" ht="22.5" customHeight="1">
      <c r="A36" s="16" t="s">
        <v>492</v>
      </c>
      <c r="B36" s="134" t="s">
        <v>1257</v>
      </c>
      <c r="C36" s="135" t="s">
        <v>1258</v>
      </c>
      <c r="D36" s="136"/>
      <c r="E36" s="136"/>
      <c r="F36" s="137" t="s">
        <v>140</v>
      </c>
      <c r="G36" s="138"/>
      <c r="H36" s="139">
        <v>100000.0</v>
      </c>
      <c r="I36" s="140"/>
      <c r="J36" s="141" t="s">
        <v>48</v>
      </c>
      <c r="K36" s="142" t="s">
        <v>668</v>
      </c>
    </row>
    <row r="37" ht="22.5" customHeight="1">
      <c r="A37" s="16" t="s">
        <v>153</v>
      </c>
      <c r="B37" s="33" t="s">
        <v>154</v>
      </c>
      <c r="C37" s="33" t="s">
        <v>155</v>
      </c>
      <c r="D37" s="34"/>
      <c r="E37" s="35"/>
      <c r="F37" s="36" t="s">
        <v>63</v>
      </c>
      <c r="G37" s="37">
        <v>45806.0</v>
      </c>
      <c r="H37" s="38">
        <v>444584.41</v>
      </c>
      <c r="I37" s="39"/>
      <c r="J37" s="40" t="s">
        <v>48</v>
      </c>
      <c r="K37" s="41" t="s">
        <v>40</v>
      </c>
    </row>
    <row r="38" ht="22.5" customHeight="1">
      <c r="A38" s="16" t="s">
        <v>156</v>
      </c>
      <c r="B38" s="24" t="s">
        <v>157</v>
      </c>
      <c r="C38" s="24" t="s">
        <v>158</v>
      </c>
      <c r="D38" s="25"/>
      <c r="E38" s="26"/>
      <c r="F38" s="27" t="s">
        <v>67</v>
      </c>
      <c r="G38" s="28">
        <v>46036.0</v>
      </c>
      <c r="H38" s="29">
        <v>477346.39</v>
      </c>
      <c r="I38" s="30"/>
      <c r="J38" s="31" t="s">
        <v>159</v>
      </c>
      <c r="K38" s="32" t="s">
        <v>40</v>
      </c>
    </row>
    <row r="39" ht="22.5" customHeight="1">
      <c r="A39" s="16" t="s">
        <v>160</v>
      </c>
      <c r="B39" s="33" t="s">
        <v>161</v>
      </c>
      <c r="C39" s="33" t="s">
        <v>162</v>
      </c>
      <c r="D39" s="34"/>
      <c r="E39" s="35"/>
      <c r="F39" s="36" t="s">
        <v>63</v>
      </c>
      <c r="G39" s="37">
        <v>45954.0</v>
      </c>
      <c r="H39" s="38">
        <v>3090240.0</v>
      </c>
      <c r="I39" s="39"/>
      <c r="J39" s="44"/>
      <c r="K39" s="41" t="s">
        <v>40</v>
      </c>
    </row>
    <row r="40" ht="22.5" customHeight="1">
      <c r="A40" s="16" t="s">
        <v>163</v>
      </c>
      <c r="B40" s="24"/>
      <c r="C40" s="24" t="s">
        <v>164</v>
      </c>
      <c r="D40" s="25"/>
      <c r="E40" s="26"/>
      <c r="F40" s="124"/>
      <c r="G40" s="45"/>
      <c r="H40" s="47"/>
      <c r="I40" s="30"/>
      <c r="J40" s="46"/>
      <c r="K40" s="32" t="s">
        <v>40</v>
      </c>
    </row>
    <row r="41" ht="22.5" customHeight="1">
      <c r="A41" s="16" t="s">
        <v>165</v>
      </c>
      <c r="B41" s="33"/>
      <c r="C41" s="33" t="s">
        <v>166</v>
      </c>
      <c r="D41" s="34"/>
      <c r="E41" s="35"/>
      <c r="F41" s="114"/>
      <c r="G41" s="42"/>
      <c r="H41" s="43"/>
      <c r="I41" s="39"/>
      <c r="J41" s="44"/>
      <c r="K41" s="41" t="s">
        <v>40</v>
      </c>
    </row>
    <row r="42" ht="22.5" customHeight="1">
      <c r="A42" s="16" t="s">
        <v>167</v>
      </c>
      <c r="B42" s="24"/>
      <c r="C42" s="24" t="s">
        <v>168</v>
      </c>
      <c r="D42" s="25"/>
      <c r="E42" s="26"/>
      <c r="F42" s="124"/>
      <c r="G42" s="45"/>
      <c r="H42" s="47"/>
      <c r="I42" s="30"/>
      <c r="J42" s="46"/>
      <c r="K42" s="32" t="s">
        <v>40</v>
      </c>
    </row>
    <row r="43" ht="22.5" customHeight="1">
      <c r="A43" s="16" t="s">
        <v>169</v>
      </c>
      <c r="B43" s="33"/>
      <c r="C43" s="33" t="s">
        <v>170</v>
      </c>
      <c r="D43" s="34"/>
      <c r="E43" s="35"/>
      <c r="F43" s="114"/>
      <c r="G43" s="42"/>
      <c r="H43" s="43"/>
      <c r="I43" s="39"/>
      <c r="J43" s="44"/>
      <c r="K43" s="41" t="s">
        <v>40</v>
      </c>
    </row>
    <row r="44" ht="22.5" customHeight="1">
      <c r="A44" s="16" t="s">
        <v>171</v>
      </c>
      <c r="B44" s="24"/>
      <c r="C44" s="24" t="s">
        <v>172</v>
      </c>
      <c r="D44" s="25"/>
      <c r="E44" s="26"/>
      <c r="F44" s="124"/>
      <c r="G44" s="45"/>
      <c r="H44" s="47"/>
      <c r="I44" s="30"/>
      <c r="J44" s="46"/>
      <c r="K44" s="32" t="s">
        <v>40</v>
      </c>
    </row>
    <row r="45" ht="22.5" customHeight="1">
      <c r="A45" s="16" t="s">
        <v>173</v>
      </c>
      <c r="B45" s="33"/>
      <c r="C45" s="33" t="s">
        <v>174</v>
      </c>
      <c r="D45" s="34"/>
      <c r="E45" s="35"/>
      <c r="F45" s="114"/>
      <c r="G45" s="42"/>
      <c r="H45" s="43"/>
      <c r="I45" s="39"/>
      <c r="J45" s="44"/>
      <c r="K45" s="41" t="s">
        <v>40</v>
      </c>
    </row>
    <row r="46" ht="22.5" customHeight="1">
      <c r="A46" s="16" t="s">
        <v>495</v>
      </c>
      <c r="B46" s="115" t="s">
        <v>669</v>
      </c>
      <c r="C46" s="116" t="s">
        <v>670</v>
      </c>
      <c r="D46" s="117"/>
      <c r="E46" s="117"/>
      <c r="F46" s="118" t="s">
        <v>460</v>
      </c>
      <c r="G46" s="119">
        <v>45951.0</v>
      </c>
      <c r="H46" s="120">
        <v>380000.0</v>
      </c>
      <c r="I46" s="121"/>
      <c r="J46" s="122" t="s">
        <v>97</v>
      </c>
      <c r="K46" s="123" t="s">
        <v>668</v>
      </c>
    </row>
    <row r="47" ht="22.5" customHeight="1">
      <c r="A47" s="16" t="s">
        <v>175</v>
      </c>
      <c r="B47" s="33"/>
      <c r="C47" s="33" t="s">
        <v>176</v>
      </c>
      <c r="D47" s="34"/>
      <c r="E47" s="35"/>
      <c r="F47" s="114"/>
      <c r="G47" s="42"/>
      <c r="H47" s="43"/>
      <c r="I47" s="39"/>
      <c r="J47" s="44"/>
      <c r="K47" s="41" t="s">
        <v>40</v>
      </c>
    </row>
    <row r="48" ht="22.5" customHeight="1">
      <c r="A48" s="16" t="s">
        <v>177</v>
      </c>
      <c r="B48" s="24"/>
      <c r="C48" s="24" t="s">
        <v>178</v>
      </c>
      <c r="D48" s="25"/>
      <c r="E48" s="26"/>
      <c r="F48" s="124"/>
      <c r="G48" s="45"/>
      <c r="H48" s="47"/>
      <c r="I48" s="30"/>
      <c r="J48" s="46"/>
      <c r="K48" s="32" t="s">
        <v>40</v>
      </c>
    </row>
    <row r="49" ht="22.5" customHeight="1">
      <c r="A49" s="16" t="s">
        <v>179</v>
      </c>
      <c r="B49" s="33"/>
      <c r="C49" s="33" t="s">
        <v>180</v>
      </c>
      <c r="D49" s="34"/>
      <c r="E49" s="35"/>
      <c r="F49" s="114"/>
      <c r="G49" s="42"/>
      <c r="H49" s="43"/>
      <c r="I49" s="39"/>
      <c r="J49" s="44"/>
      <c r="K49" s="41" t="s">
        <v>40</v>
      </c>
    </row>
    <row r="50" ht="22.5" customHeight="1">
      <c r="A50" s="16" t="s">
        <v>181</v>
      </c>
      <c r="B50" s="24"/>
      <c r="C50" s="24" t="s">
        <v>182</v>
      </c>
      <c r="D50" s="25"/>
      <c r="E50" s="26"/>
      <c r="F50" s="124"/>
      <c r="G50" s="45"/>
      <c r="H50" s="47"/>
      <c r="I50" s="30"/>
      <c r="J50" s="46"/>
      <c r="K50" s="32" t="s">
        <v>40</v>
      </c>
    </row>
    <row r="51" ht="22.5" customHeight="1">
      <c r="A51" s="16" t="s">
        <v>183</v>
      </c>
      <c r="B51" s="33"/>
      <c r="C51" s="33" t="s">
        <v>184</v>
      </c>
      <c r="D51" s="34"/>
      <c r="E51" s="35"/>
      <c r="F51" s="114"/>
      <c r="G51" s="42"/>
      <c r="H51" s="43"/>
      <c r="I51" s="39"/>
      <c r="J51" s="44"/>
      <c r="K51" s="41" t="s">
        <v>40</v>
      </c>
    </row>
    <row r="52" ht="22.5" customHeight="1">
      <c r="A52" s="16" t="s">
        <v>185</v>
      </c>
      <c r="B52" s="24"/>
      <c r="C52" s="24" t="s">
        <v>186</v>
      </c>
      <c r="D52" s="25"/>
      <c r="E52" s="26"/>
      <c r="F52" s="124"/>
      <c r="G52" s="45"/>
      <c r="H52" s="47"/>
      <c r="I52" s="30"/>
      <c r="J52" s="46"/>
      <c r="K52" s="32" t="s">
        <v>40</v>
      </c>
    </row>
    <row r="53" ht="22.5" customHeight="1">
      <c r="A53" s="16" t="s">
        <v>187</v>
      </c>
      <c r="B53" s="33"/>
      <c r="C53" s="33" t="s">
        <v>188</v>
      </c>
      <c r="D53" s="34"/>
      <c r="E53" s="35"/>
      <c r="F53" s="114"/>
      <c r="G53" s="42"/>
      <c r="H53" s="43"/>
      <c r="I53" s="39"/>
      <c r="J53" s="44"/>
      <c r="K53" s="41" t="s">
        <v>40</v>
      </c>
    </row>
    <row r="54" ht="22.5" customHeight="1">
      <c r="A54" s="16" t="s">
        <v>189</v>
      </c>
      <c r="B54" s="24"/>
      <c r="C54" s="24" t="s">
        <v>190</v>
      </c>
      <c r="D54" s="25"/>
      <c r="E54" s="26"/>
      <c r="F54" s="124"/>
      <c r="G54" s="45"/>
      <c r="H54" s="47"/>
      <c r="I54" s="30"/>
      <c r="J54" s="46"/>
      <c r="K54" s="32" t="s">
        <v>40</v>
      </c>
    </row>
    <row r="55" ht="22.5" customHeight="1">
      <c r="A55" s="16" t="s">
        <v>191</v>
      </c>
      <c r="B55" s="33"/>
      <c r="C55" s="33" t="s">
        <v>192</v>
      </c>
      <c r="D55" s="34"/>
      <c r="E55" s="35"/>
      <c r="F55" s="114"/>
      <c r="G55" s="42"/>
      <c r="H55" s="43"/>
      <c r="I55" s="39"/>
      <c r="J55" s="44"/>
      <c r="K55" s="41" t="s">
        <v>40</v>
      </c>
    </row>
    <row r="56" ht="22.5" customHeight="1">
      <c r="A56" s="16" t="s">
        <v>193</v>
      </c>
      <c r="B56" s="24" t="s">
        <v>194</v>
      </c>
      <c r="C56" s="24" t="s">
        <v>195</v>
      </c>
      <c r="D56" s="25"/>
      <c r="E56" s="26"/>
      <c r="F56" s="124"/>
      <c r="G56" s="45"/>
      <c r="H56" s="47"/>
      <c r="I56" s="30"/>
      <c r="J56" s="46"/>
      <c r="K56" s="32" t="s">
        <v>40</v>
      </c>
    </row>
    <row r="57" ht="22.5" customHeight="1">
      <c r="A57" s="16" t="s">
        <v>499</v>
      </c>
      <c r="B57" s="143" t="s">
        <v>672</v>
      </c>
      <c r="C57" s="144" t="s">
        <v>673</v>
      </c>
      <c r="D57" s="145"/>
      <c r="E57" s="145"/>
      <c r="F57" s="146" t="s">
        <v>460</v>
      </c>
      <c r="G57" s="147">
        <v>45951.0</v>
      </c>
      <c r="H57" s="148">
        <v>280000.0</v>
      </c>
      <c r="I57" s="149"/>
      <c r="J57" s="150" t="s">
        <v>48</v>
      </c>
      <c r="K57" s="151" t="s">
        <v>668</v>
      </c>
    </row>
    <row r="58" ht="22.5" customHeight="1">
      <c r="A58" s="16" t="s">
        <v>196</v>
      </c>
      <c r="B58" s="24" t="s">
        <v>197</v>
      </c>
      <c r="C58" s="24" t="s">
        <v>198</v>
      </c>
      <c r="D58" s="25"/>
      <c r="E58" s="26"/>
      <c r="F58" s="124"/>
      <c r="G58" s="45"/>
      <c r="H58" s="47"/>
      <c r="I58" s="30"/>
      <c r="J58" s="46"/>
      <c r="K58" s="32" t="s">
        <v>40</v>
      </c>
    </row>
    <row r="59" ht="22.5" customHeight="1">
      <c r="A59" s="16" t="s">
        <v>199</v>
      </c>
      <c r="B59" s="33" t="s">
        <v>200</v>
      </c>
      <c r="C59" s="33" t="s">
        <v>201</v>
      </c>
      <c r="D59" s="34"/>
      <c r="E59" s="35"/>
      <c r="F59" s="114"/>
      <c r="G59" s="42"/>
      <c r="H59" s="43"/>
      <c r="I59" s="39"/>
      <c r="J59" s="44"/>
      <c r="K59" s="41" t="s">
        <v>40</v>
      </c>
    </row>
    <row r="60" ht="22.5" customHeight="1">
      <c r="A60" s="16" t="s">
        <v>202</v>
      </c>
      <c r="B60" s="24" t="s">
        <v>203</v>
      </c>
      <c r="C60" s="24" t="s">
        <v>204</v>
      </c>
      <c r="D60" s="25"/>
      <c r="E60" s="26"/>
      <c r="F60" s="124"/>
      <c r="G60" s="45"/>
      <c r="H60" s="47"/>
      <c r="I60" s="30"/>
      <c r="J60" s="46"/>
      <c r="K60" s="32" t="s">
        <v>40</v>
      </c>
    </row>
    <row r="61" ht="22.5" customHeight="1">
      <c r="A61" s="16" t="s">
        <v>205</v>
      </c>
      <c r="B61" s="33" t="s">
        <v>206</v>
      </c>
      <c r="C61" s="33" t="s">
        <v>207</v>
      </c>
      <c r="D61" s="34"/>
      <c r="E61" s="35"/>
      <c r="F61" s="114"/>
      <c r="G61" s="42"/>
      <c r="H61" s="43"/>
      <c r="I61" s="39"/>
      <c r="J61" s="44"/>
      <c r="K61" s="41" t="s">
        <v>40</v>
      </c>
    </row>
    <row r="62" ht="22.5" customHeight="1">
      <c r="A62" s="16" t="s">
        <v>208</v>
      </c>
      <c r="B62" s="24" t="s">
        <v>209</v>
      </c>
      <c r="C62" s="24" t="s">
        <v>210</v>
      </c>
      <c r="D62" s="25"/>
      <c r="E62" s="26"/>
      <c r="F62" s="124"/>
      <c r="G62" s="45"/>
      <c r="H62" s="47"/>
      <c r="I62" s="30"/>
      <c r="J62" s="46"/>
      <c r="K62" s="32" t="s">
        <v>40</v>
      </c>
    </row>
    <row r="63" ht="22.5" customHeight="1">
      <c r="A63" s="16" t="s">
        <v>211</v>
      </c>
      <c r="B63" s="33" t="s">
        <v>212</v>
      </c>
      <c r="C63" s="33" t="s">
        <v>213</v>
      </c>
      <c r="D63" s="34"/>
      <c r="E63" s="35"/>
      <c r="F63" s="114"/>
      <c r="G63" s="42"/>
      <c r="H63" s="43"/>
      <c r="I63" s="39"/>
      <c r="J63" s="44"/>
      <c r="K63" s="41" t="s">
        <v>40</v>
      </c>
    </row>
    <row r="64" ht="22.5" customHeight="1">
      <c r="A64" s="16" t="s">
        <v>214</v>
      </c>
      <c r="B64" s="24" t="s">
        <v>215</v>
      </c>
      <c r="C64" s="24" t="s">
        <v>216</v>
      </c>
      <c r="D64" s="25"/>
      <c r="E64" s="26"/>
      <c r="F64" s="124"/>
      <c r="G64" s="45"/>
      <c r="H64" s="47"/>
      <c r="I64" s="30"/>
      <c r="J64" s="46"/>
      <c r="K64" s="32" t="s">
        <v>40</v>
      </c>
    </row>
    <row r="65" ht="22.5" customHeight="1">
      <c r="A65" s="16" t="s">
        <v>217</v>
      </c>
      <c r="B65" s="33" t="s">
        <v>218</v>
      </c>
      <c r="C65" s="33" t="s">
        <v>219</v>
      </c>
      <c r="D65" s="34"/>
      <c r="E65" s="35"/>
      <c r="F65" s="114"/>
      <c r="G65" s="42"/>
      <c r="H65" s="43"/>
      <c r="I65" s="39"/>
      <c r="J65" s="44"/>
      <c r="K65" s="41" t="s">
        <v>40</v>
      </c>
    </row>
    <row r="66" ht="22.5" customHeight="1">
      <c r="A66" s="16" t="s">
        <v>220</v>
      </c>
      <c r="B66" s="24" t="s">
        <v>221</v>
      </c>
      <c r="C66" s="24" t="s">
        <v>222</v>
      </c>
      <c r="D66" s="25"/>
      <c r="E66" s="26"/>
      <c r="F66" s="124"/>
      <c r="G66" s="45"/>
      <c r="H66" s="47"/>
      <c r="I66" s="30"/>
      <c r="J66" s="46"/>
      <c r="K66" s="32" t="s">
        <v>40</v>
      </c>
    </row>
    <row r="67" ht="22.5" customHeight="1">
      <c r="A67" s="16" t="s">
        <v>223</v>
      </c>
      <c r="B67" s="33" t="s">
        <v>224</v>
      </c>
      <c r="C67" s="33" t="s">
        <v>225</v>
      </c>
      <c r="D67" s="34"/>
      <c r="E67" s="35"/>
      <c r="F67" s="114"/>
      <c r="G67" s="42"/>
      <c r="H67" s="43"/>
      <c r="I67" s="39"/>
      <c r="J67" s="44"/>
      <c r="K67" s="41" t="s">
        <v>40</v>
      </c>
    </row>
    <row r="68" ht="22.5" customHeight="1">
      <c r="A68" s="16" t="s">
        <v>502</v>
      </c>
      <c r="B68" s="115" t="s">
        <v>1259</v>
      </c>
      <c r="C68" s="116" t="s">
        <v>1260</v>
      </c>
      <c r="D68" s="117"/>
      <c r="E68" s="117"/>
      <c r="F68" s="152" t="s">
        <v>140</v>
      </c>
      <c r="G68" s="153"/>
      <c r="H68" s="120">
        <v>250000.0</v>
      </c>
      <c r="I68" s="121"/>
      <c r="J68" s="122" t="s">
        <v>97</v>
      </c>
      <c r="K68" s="123" t="s">
        <v>668</v>
      </c>
    </row>
    <row r="69" ht="22.5" customHeight="1">
      <c r="A69" s="16" t="s">
        <v>226</v>
      </c>
      <c r="B69" s="33" t="s">
        <v>227</v>
      </c>
      <c r="C69" s="33" t="s">
        <v>228</v>
      </c>
      <c r="D69" s="34"/>
      <c r="E69" s="35"/>
      <c r="F69" s="114"/>
      <c r="G69" s="42"/>
      <c r="H69" s="43"/>
      <c r="I69" s="39"/>
      <c r="J69" s="44"/>
      <c r="K69" s="41" t="s">
        <v>40</v>
      </c>
    </row>
    <row r="70" ht="22.5" customHeight="1">
      <c r="A70" s="16" t="s">
        <v>229</v>
      </c>
      <c r="B70" s="24" t="s">
        <v>230</v>
      </c>
      <c r="C70" s="24" t="s">
        <v>231</v>
      </c>
      <c r="D70" s="25"/>
      <c r="E70" s="26"/>
      <c r="F70" s="124"/>
      <c r="G70" s="45"/>
      <c r="H70" s="47"/>
      <c r="I70" s="30"/>
      <c r="J70" s="46"/>
      <c r="K70" s="32" t="s">
        <v>40</v>
      </c>
    </row>
    <row r="71" ht="22.5" customHeight="1">
      <c r="A71" s="16" t="s">
        <v>232</v>
      </c>
      <c r="B71" s="24" t="s">
        <v>233</v>
      </c>
      <c r="C71" s="24" t="s">
        <v>234</v>
      </c>
      <c r="D71" s="25"/>
      <c r="E71" s="26"/>
      <c r="F71" s="124"/>
      <c r="G71" s="45"/>
      <c r="H71" s="47"/>
      <c r="I71" s="30"/>
      <c r="J71" s="46"/>
      <c r="K71" s="32" t="s">
        <v>40</v>
      </c>
    </row>
    <row r="72" ht="22.5" customHeight="1">
      <c r="A72" s="16" t="s">
        <v>235</v>
      </c>
      <c r="B72" s="33" t="s">
        <v>236</v>
      </c>
      <c r="C72" s="33" t="s">
        <v>237</v>
      </c>
      <c r="D72" s="34"/>
      <c r="E72" s="35"/>
      <c r="F72" s="114"/>
      <c r="G72" s="42"/>
      <c r="H72" s="43"/>
      <c r="I72" s="39"/>
      <c r="J72" s="44"/>
      <c r="K72" s="41" t="s">
        <v>40</v>
      </c>
    </row>
    <row r="73" ht="22.5" customHeight="1">
      <c r="A73" s="16" t="s">
        <v>238</v>
      </c>
      <c r="B73" s="24"/>
      <c r="C73" s="24" t="s">
        <v>239</v>
      </c>
      <c r="D73" s="25"/>
      <c r="E73" s="26"/>
      <c r="F73" s="124"/>
      <c r="G73" s="45"/>
      <c r="H73" s="47"/>
      <c r="I73" s="30"/>
      <c r="J73" s="46"/>
      <c r="K73" s="32" t="s">
        <v>40</v>
      </c>
    </row>
    <row r="74" ht="22.5" customHeight="1">
      <c r="A74" s="16" t="s">
        <v>240</v>
      </c>
      <c r="B74" s="33" t="s">
        <v>241</v>
      </c>
      <c r="C74" s="33" t="s">
        <v>242</v>
      </c>
      <c r="D74" s="34"/>
      <c r="E74" s="35"/>
      <c r="F74" s="114"/>
      <c r="G74" s="42"/>
      <c r="H74" s="43"/>
      <c r="I74" s="39"/>
      <c r="J74" s="44"/>
      <c r="K74" s="41" t="s">
        <v>40</v>
      </c>
    </row>
    <row r="75" ht="22.5" customHeight="1">
      <c r="A75" s="16" t="s">
        <v>243</v>
      </c>
      <c r="B75" s="24" t="s">
        <v>244</v>
      </c>
      <c r="C75" s="24" t="s">
        <v>245</v>
      </c>
      <c r="D75" s="25"/>
      <c r="E75" s="26"/>
      <c r="F75" s="124"/>
      <c r="G75" s="45"/>
      <c r="H75" s="47"/>
      <c r="I75" s="30"/>
      <c r="J75" s="46"/>
      <c r="K75" s="32" t="s">
        <v>40</v>
      </c>
    </row>
    <row r="76" ht="22.5" customHeight="1">
      <c r="A76" s="16" t="s">
        <v>246</v>
      </c>
      <c r="B76" s="33" t="s">
        <v>247</v>
      </c>
      <c r="C76" s="33" t="s">
        <v>248</v>
      </c>
      <c r="D76" s="34"/>
      <c r="E76" s="35"/>
      <c r="F76" s="114"/>
      <c r="G76" s="42"/>
      <c r="H76" s="43"/>
      <c r="I76" s="39"/>
      <c r="J76" s="44"/>
      <c r="K76" s="41" t="s">
        <v>40</v>
      </c>
    </row>
    <row r="77" ht="22.5" customHeight="1">
      <c r="A77" s="16" t="s">
        <v>249</v>
      </c>
      <c r="B77" s="24" t="s">
        <v>250</v>
      </c>
      <c r="C77" s="24" t="s">
        <v>251</v>
      </c>
      <c r="D77" s="25"/>
      <c r="E77" s="26"/>
      <c r="F77" s="124"/>
      <c r="G77" s="45"/>
      <c r="H77" s="47"/>
      <c r="I77" s="30"/>
      <c r="J77" s="46"/>
      <c r="K77" s="32" t="s">
        <v>40</v>
      </c>
    </row>
    <row r="78" ht="22.5" customHeight="1">
      <c r="A78" s="16" t="s">
        <v>252</v>
      </c>
      <c r="B78" s="33" t="s">
        <v>253</v>
      </c>
      <c r="C78" s="33" t="s">
        <v>254</v>
      </c>
      <c r="D78" s="34"/>
      <c r="E78" s="35"/>
      <c r="F78" s="114"/>
      <c r="G78" s="42"/>
      <c r="H78" s="43"/>
      <c r="I78" s="39"/>
      <c r="J78" s="44"/>
      <c r="K78" s="41" t="s">
        <v>40</v>
      </c>
    </row>
    <row r="79" ht="22.5" customHeight="1">
      <c r="A79" s="16" t="s">
        <v>505</v>
      </c>
      <c r="B79" s="134" t="s">
        <v>674</v>
      </c>
      <c r="C79" s="135" t="s">
        <v>675</v>
      </c>
      <c r="D79" s="136"/>
      <c r="E79" s="136"/>
      <c r="F79" s="154" t="s">
        <v>671</v>
      </c>
      <c r="G79" s="155">
        <v>45954.0</v>
      </c>
      <c r="H79" s="139">
        <v>380000.0</v>
      </c>
      <c r="I79" s="140"/>
      <c r="J79" s="156" t="s">
        <v>676</v>
      </c>
      <c r="K79" s="142" t="s">
        <v>668</v>
      </c>
    </row>
    <row r="80" ht="22.5" customHeight="1">
      <c r="A80" s="16" t="s">
        <v>255</v>
      </c>
      <c r="B80" s="33" t="s">
        <v>256</v>
      </c>
      <c r="C80" s="33" t="s">
        <v>257</v>
      </c>
      <c r="D80" s="34"/>
      <c r="E80" s="35"/>
      <c r="F80" s="114"/>
      <c r="G80" s="42"/>
      <c r="H80" s="43"/>
      <c r="I80" s="39"/>
      <c r="J80" s="44"/>
      <c r="K80" s="41" t="s">
        <v>40</v>
      </c>
    </row>
    <row r="81" ht="22.5" customHeight="1">
      <c r="A81" s="16" t="s">
        <v>258</v>
      </c>
      <c r="B81" s="24" t="s">
        <v>259</v>
      </c>
      <c r="C81" s="24" t="s">
        <v>260</v>
      </c>
      <c r="D81" s="25"/>
      <c r="E81" s="26"/>
      <c r="F81" s="124"/>
      <c r="G81" s="45"/>
      <c r="H81" s="47"/>
      <c r="I81" s="30"/>
      <c r="J81" s="46"/>
      <c r="K81" s="32" t="s">
        <v>40</v>
      </c>
    </row>
    <row r="82" ht="22.5" customHeight="1">
      <c r="A82" s="16" t="s">
        <v>508</v>
      </c>
      <c r="B82" s="125" t="s">
        <v>1261</v>
      </c>
      <c r="C82" s="126" t="s">
        <v>1262</v>
      </c>
      <c r="D82" s="127"/>
      <c r="E82" s="127"/>
      <c r="F82" s="128" t="s">
        <v>460</v>
      </c>
      <c r="G82" s="129">
        <v>45897.0</v>
      </c>
      <c r="H82" s="130">
        <v>200000.0</v>
      </c>
      <c r="I82" s="131"/>
      <c r="J82" s="157" t="s">
        <v>97</v>
      </c>
      <c r="K82" s="133" t="s">
        <v>668</v>
      </c>
    </row>
    <row r="83" ht="22.5" customHeight="1">
      <c r="A83" s="16" t="s">
        <v>511</v>
      </c>
      <c r="B83" s="134" t="s">
        <v>677</v>
      </c>
      <c r="C83" s="135" t="s">
        <v>678</v>
      </c>
      <c r="D83" s="136"/>
      <c r="E83" s="136"/>
      <c r="F83" s="154" t="s">
        <v>671</v>
      </c>
      <c r="G83" s="155">
        <v>45897.0</v>
      </c>
      <c r="H83" s="139">
        <v>130000.0</v>
      </c>
      <c r="I83" s="140"/>
      <c r="J83" s="158" t="s">
        <v>97</v>
      </c>
      <c r="K83" s="142" t="s">
        <v>668</v>
      </c>
    </row>
    <row r="84" ht="22.5" customHeight="1">
      <c r="A84" s="16" t="s">
        <v>462</v>
      </c>
      <c r="B84" s="159" t="s">
        <v>1263</v>
      </c>
      <c r="C84" s="159" t="s">
        <v>1264</v>
      </c>
      <c r="D84" s="160" t="s">
        <v>855</v>
      </c>
      <c r="E84" s="161"/>
      <c r="F84" s="162" t="s">
        <v>47</v>
      </c>
      <c r="G84" s="163">
        <v>46001.0</v>
      </c>
      <c r="H84" s="164">
        <v>45000.0</v>
      </c>
      <c r="I84" s="165">
        <v>0.6</v>
      </c>
      <c r="J84" s="162" t="s">
        <v>48</v>
      </c>
      <c r="K84" s="166" t="s">
        <v>1265</v>
      </c>
    </row>
    <row r="85" ht="22.5" customHeight="1">
      <c r="A85" s="16" t="s">
        <v>514</v>
      </c>
      <c r="B85" s="115" t="s">
        <v>1266</v>
      </c>
      <c r="C85" s="116" t="s">
        <v>1267</v>
      </c>
      <c r="D85" s="117"/>
      <c r="E85" s="117"/>
      <c r="F85" s="118" t="s">
        <v>460</v>
      </c>
      <c r="G85" s="119">
        <v>45951.0</v>
      </c>
      <c r="H85" s="120">
        <v>150000.0</v>
      </c>
      <c r="I85" s="121"/>
      <c r="J85" s="122" t="s">
        <v>97</v>
      </c>
      <c r="K85" s="123" t="s">
        <v>668</v>
      </c>
    </row>
    <row r="86" ht="22.5" customHeight="1">
      <c r="A86" s="16" t="s">
        <v>517</v>
      </c>
      <c r="B86" s="143" t="s">
        <v>1268</v>
      </c>
      <c r="C86" s="144" t="s">
        <v>1269</v>
      </c>
      <c r="D86" s="145"/>
      <c r="E86" s="145"/>
      <c r="F86" s="146" t="s">
        <v>460</v>
      </c>
      <c r="G86" s="147">
        <v>45968.0</v>
      </c>
      <c r="H86" s="148">
        <v>200000.0</v>
      </c>
      <c r="I86" s="149"/>
      <c r="J86" s="167" t="s">
        <v>97</v>
      </c>
      <c r="K86" s="151" t="s">
        <v>668</v>
      </c>
    </row>
    <row r="87" ht="22.5" customHeight="1">
      <c r="A87" s="16" t="s">
        <v>521</v>
      </c>
      <c r="B87" s="116" t="s">
        <v>1270</v>
      </c>
      <c r="C87" s="116" t="s">
        <v>1271</v>
      </c>
      <c r="D87" s="117"/>
      <c r="E87" s="117"/>
      <c r="F87" s="152" t="s">
        <v>140</v>
      </c>
      <c r="G87" s="153"/>
      <c r="H87" s="120">
        <v>200000.0</v>
      </c>
      <c r="I87" s="121"/>
      <c r="J87" s="168" t="s">
        <v>676</v>
      </c>
      <c r="K87" s="123" t="s">
        <v>668</v>
      </c>
    </row>
    <row r="88" ht="22.5" customHeight="1">
      <c r="A88" s="16" t="s">
        <v>525</v>
      </c>
      <c r="B88" s="143" t="s">
        <v>1272</v>
      </c>
      <c r="C88" s="144" t="s">
        <v>1273</v>
      </c>
      <c r="D88" s="145"/>
      <c r="E88" s="145"/>
      <c r="F88" s="146" t="s">
        <v>460</v>
      </c>
      <c r="G88" s="147">
        <v>45944.0</v>
      </c>
      <c r="H88" s="148">
        <v>300000.0</v>
      </c>
      <c r="I88" s="149"/>
      <c r="J88" s="167" t="s">
        <v>97</v>
      </c>
      <c r="K88" s="151" t="s">
        <v>668</v>
      </c>
    </row>
    <row r="89" ht="22.5" customHeight="1">
      <c r="A89" s="16" t="s">
        <v>528</v>
      </c>
      <c r="B89" s="125" t="s">
        <v>1274</v>
      </c>
      <c r="C89" s="126" t="s">
        <v>1275</v>
      </c>
      <c r="D89" s="56"/>
      <c r="E89" s="56"/>
      <c r="F89" s="80" t="s">
        <v>460</v>
      </c>
      <c r="G89" s="64">
        <v>45966.0</v>
      </c>
      <c r="H89" s="59">
        <v>50000.0</v>
      </c>
      <c r="I89" s="60"/>
      <c r="J89" s="157" t="s">
        <v>97</v>
      </c>
      <c r="K89" s="133" t="s">
        <v>668</v>
      </c>
    </row>
    <row r="90" ht="22.5" customHeight="1">
      <c r="A90" s="16" t="s">
        <v>531</v>
      </c>
      <c r="B90" s="143" t="s">
        <v>1276</v>
      </c>
      <c r="C90" s="144" t="s">
        <v>1277</v>
      </c>
      <c r="D90" s="68"/>
      <c r="E90" s="68"/>
      <c r="F90" s="113" t="s">
        <v>140</v>
      </c>
      <c r="G90" s="83"/>
      <c r="H90" s="71">
        <v>50000.0</v>
      </c>
      <c r="I90" s="72"/>
      <c r="J90" s="167" t="s">
        <v>97</v>
      </c>
      <c r="K90" s="151" t="s">
        <v>668</v>
      </c>
    </row>
    <row r="91" ht="22.5" customHeight="1">
      <c r="A91" s="16" t="s">
        <v>534</v>
      </c>
      <c r="B91" s="63" t="s">
        <v>679</v>
      </c>
      <c r="C91" s="62" t="s">
        <v>680</v>
      </c>
      <c r="D91" s="56"/>
      <c r="E91" s="56"/>
      <c r="F91" s="169" t="s">
        <v>140</v>
      </c>
      <c r="G91" s="78"/>
      <c r="H91" s="59">
        <v>380000.0</v>
      </c>
      <c r="I91" s="60"/>
      <c r="J91" s="170" t="s">
        <v>48</v>
      </c>
      <c r="K91" s="133" t="s">
        <v>668</v>
      </c>
    </row>
    <row r="92" ht="22.5" customHeight="1">
      <c r="A92" s="16" t="s">
        <v>538</v>
      </c>
      <c r="B92" s="66" t="s">
        <v>1278</v>
      </c>
      <c r="C92" s="67" t="s">
        <v>1279</v>
      </c>
      <c r="D92" s="68"/>
      <c r="E92" s="68"/>
      <c r="F92" s="81" t="s">
        <v>460</v>
      </c>
      <c r="G92" s="70">
        <v>45981.0</v>
      </c>
      <c r="H92" s="71">
        <v>100000.0</v>
      </c>
      <c r="I92" s="72"/>
      <c r="J92" s="167" t="s">
        <v>97</v>
      </c>
      <c r="K92" s="151" t="s">
        <v>668</v>
      </c>
    </row>
    <row r="93" ht="22.5" customHeight="1">
      <c r="A93" s="16" t="s">
        <v>542</v>
      </c>
      <c r="B93" s="63" t="s">
        <v>1280</v>
      </c>
      <c r="C93" s="62" t="s">
        <v>1281</v>
      </c>
      <c r="D93" s="56"/>
      <c r="E93" s="56"/>
      <c r="F93" s="169" t="s">
        <v>140</v>
      </c>
      <c r="G93" s="78"/>
      <c r="H93" s="59">
        <v>100000.0</v>
      </c>
      <c r="I93" s="60"/>
      <c r="J93" s="65" t="s">
        <v>97</v>
      </c>
      <c r="K93" s="133" t="s">
        <v>668</v>
      </c>
    </row>
    <row r="94" ht="22.5" customHeight="1">
      <c r="A94" s="16" t="s">
        <v>545</v>
      </c>
      <c r="B94" s="66" t="s">
        <v>1282</v>
      </c>
      <c r="C94" s="67" t="s">
        <v>1283</v>
      </c>
      <c r="D94" s="68"/>
      <c r="E94" s="68"/>
      <c r="F94" s="113" t="s">
        <v>140</v>
      </c>
      <c r="G94" s="83"/>
      <c r="H94" s="71">
        <v>150000.0</v>
      </c>
      <c r="I94" s="72"/>
      <c r="J94" s="76" t="s">
        <v>97</v>
      </c>
      <c r="K94" s="151" t="s">
        <v>668</v>
      </c>
    </row>
    <row r="95" ht="22.5" customHeight="1">
      <c r="A95" s="16" t="s">
        <v>465</v>
      </c>
      <c r="B95" s="103" t="s">
        <v>1284</v>
      </c>
      <c r="C95" s="103" t="s">
        <v>1285</v>
      </c>
      <c r="D95" s="97" t="s">
        <v>933</v>
      </c>
      <c r="E95" s="98"/>
      <c r="F95" s="99" t="s">
        <v>67</v>
      </c>
      <c r="G95" s="112">
        <v>46024.0</v>
      </c>
      <c r="H95" s="171">
        <v>8000.0</v>
      </c>
      <c r="I95" s="172">
        <v>0.2</v>
      </c>
      <c r="J95" s="99" t="s">
        <v>39</v>
      </c>
      <c r="K95" s="166" t="s">
        <v>1186</v>
      </c>
    </row>
    <row r="96" ht="22.5" customHeight="1">
      <c r="A96" s="16" t="s">
        <v>549</v>
      </c>
      <c r="B96" s="63" t="s">
        <v>1286</v>
      </c>
      <c r="C96" s="62" t="s">
        <v>1287</v>
      </c>
      <c r="D96" s="56"/>
      <c r="E96" s="56"/>
      <c r="F96" s="169" t="s">
        <v>140</v>
      </c>
      <c r="G96" s="78"/>
      <c r="H96" s="59">
        <v>80000.0</v>
      </c>
      <c r="I96" s="60"/>
      <c r="J96" s="65" t="s">
        <v>97</v>
      </c>
      <c r="K96" s="133" t="s">
        <v>668</v>
      </c>
    </row>
    <row r="97" ht="22.5" customHeight="1">
      <c r="A97" s="16" t="s">
        <v>552</v>
      </c>
      <c r="B97" s="66" t="s">
        <v>1288</v>
      </c>
      <c r="C97" s="67" t="s">
        <v>1125</v>
      </c>
      <c r="D97" s="68"/>
      <c r="E97" s="68"/>
      <c r="F97" s="113" t="s">
        <v>140</v>
      </c>
      <c r="G97" s="83"/>
      <c r="H97" s="71">
        <v>80000.0</v>
      </c>
      <c r="I97" s="72"/>
      <c r="J97" s="76" t="s">
        <v>97</v>
      </c>
      <c r="K97" s="67" t="s">
        <v>668</v>
      </c>
    </row>
    <row r="98" ht="22.5" customHeight="1">
      <c r="A98" s="16" t="s">
        <v>555</v>
      </c>
      <c r="B98" s="63" t="s">
        <v>681</v>
      </c>
      <c r="C98" s="62" t="s">
        <v>682</v>
      </c>
      <c r="D98" s="56"/>
      <c r="E98" s="56"/>
      <c r="F98" s="80" t="s">
        <v>460</v>
      </c>
      <c r="G98" s="64">
        <v>45989.0</v>
      </c>
      <c r="H98" s="59">
        <v>380000.0</v>
      </c>
      <c r="I98" s="60"/>
      <c r="J98" s="65" t="s">
        <v>97</v>
      </c>
      <c r="K98" s="62" t="s">
        <v>668</v>
      </c>
    </row>
    <row r="99" ht="22.5" customHeight="1">
      <c r="A99" s="16" t="s">
        <v>558</v>
      </c>
      <c r="B99" s="66" t="s">
        <v>683</v>
      </c>
      <c r="C99" s="67" t="s">
        <v>684</v>
      </c>
      <c r="D99" s="68"/>
      <c r="E99" s="68"/>
      <c r="F99" s="81" t="s">
        <v>460</v>
      </c>
      <c r="G99" s="70">
        <v>45989.0</v>
      </c>
      <c r="H99" s="71">
        <v>150000.0</v>
      </c>
      <c r="I99" s="72"/>
      <c r="J99" s="76" t="s">
        <v>97</v>
      </c>
      <c r="K99" s="67" t="s">
        <v>668</v>
      </c>
    </row>
    <row r="100" ht="22.5" customHeight="1">
      <c r="A100" s="16" t="s">
        <v>563</v>
      </c>
      <c r="B100" s="63" t="s">
        <v>1289</v>
      </c>
      <c r="C100" s="62" t="s">
        <v>1290</v>
      </c>
      <c r="D100" s="56"/>
      <c r="E100" s="56"/>
      <c r="F100" s="169" t="s">
        <v>140</v>
      </c>
      <c r="G100" s="78"/>
      <c r="H100" s="59">
        <v>380000.0</v>
      </c>
      <c r="I100" s="60"/>
      <c r="J100" s="65" t="s">
        <v>97</v>
      </c>
      <c r="K100" s="62" t="s">
        <v>668</v>
      </c>
    </row>
    <row r="101" ht="22.5" customHeight="1">
      <c r="A101" s="16" t="s">
        <v>566</v>
      </c>
      <c r="B101" s="66" t="s">
        <v>1291</v>
      </c>
      <c r="C101" s="67" t="s">
        <v>1292</v>
      </c>
      <c r="D101" s="68"/>
      <c r="E101" s="68"/>
      <c r="F101" s="113" t="s">
        <v>140</v>
      </c>
      <c r="G101" s="83"/>
      <c r="H101" s="71">
        <v>50000.0</v>
      </c>
      <c r="I101" s="72"/>
      <c r="J101" s="76" t="s">
        <v>97</v>
      </c>
      <c r="K101" s="67" t="s">
        <v>668</v>
      </c>
    </row>
    <row r="102" ht="22.5" customHeight="1">
      <c r="A102" s="16" t="s">
        <v>569</v>
      </c>
      <c r="B102" s="63" t="s">
        <v>1293</v>
      </c>
      <c r="C102" s="62" t="s">
        <v>1294</v>
      </c>
      <c r="D102" s="56"/>
      <c r="E102" s="56"/>
      <c r="F102" s="169" t="s">
        <v>140</v>
      </c>
      <c r="G102" s="78"/>
      <c r="H102" s="59">
        <v>50000.0</v>
      </c>
      <c r="I102" s="60"/>
      <c r="J102" s="65" t="s">
        <v>97</v>
      </c>
      <c r="K102" s="62" t="s">
        <v>668</v>
      </c>
    </row>
    <row r="103" ht="22.5" customHeight="1">
      <c r="A103" s="16" t="s">
        <v>573</v>
      </c>
      <c r="B103" s="66" t="s">
        <v>1295</v>
      </c>
      <c r="C103" s="67" t="s">
        <v>1296</v>
      </c>
      <c r="D103" s="68"/>
      <c r="E103" s="68"/>
      <c r="F103" s="113" t="s">
        <v>140</v>
      </c>
      <c r="G103" s="83"/>
      <c r="H103" s="71">
        <v>380000.0</v>
      </c>
      <c r="I103" s="72"/>
      <c r="J103" s="76" t="s">
        <v>97</v>
      </c>
      <c r="K103" s="67" t="s">
        <v>668</v>
      </c>
    </row>
    <row r="104" ht="22.5" customHeight="1">
      <c r="A104" s="16" t="s">
        <v>576</v>
      </c>
      <c r="B104" s="62" t="s">
        <v>685</v>
      </c>
      <c r="C104" s="62" t="s">
        <v>686</v>
      </c>
      <c r="D104" s="56"/>
      <c r="E104" s="56"/>
      <c r="F104" s="80" t="s">
        <v>460</v>
      </c>
      <c r="G104" s="64">
        <v>46361.0</v>
      </c>
      <c r="H104" s="59">
        <v>150000.0</v>
      </c>
      <c r="I104" s="60"/>
      <c r="J104" s="50" t="s">
        <v>48</v>
      </c>
      <c r="K104" s="62" t="s">
        <v>668</v>
      </c>
    </row>
    <row r="105" ht="22.5" customHeight="1">
      <c r="A105" s="16" t="s">
        <v>579</v>
      </c>
      <c r="B105" s="66" t="s">
        <v>1297</v>
      </c>
      <c r="C105" s="67" t="s">
        <v>667</v>
      </c>
      <c r="D105" s="68"/>
      <c r="E105" s="68"/>
      <c r="F105" s="81" t="s">
        <v>460</v>
      </c>
      <c r="G105" s="70">
        <v>46251.0</v>
      </c>
      <c r="H105" s="71">
        <v>50000.0</v>
      </c>
      <c r="I105" s="72"/>
      <c r="J105" s="76" t="s">
        <v>97</v>
      </c>
      <c r="K105" s="67" t="s">
        <v>668</v>
      </c>
    </row>
    <row r="106" ht="22.5" customHeight="1">
      <c r="A106" s="16" t="s">
        <v>468</v>
      </c>
      <c r="B106" s="103" t="s">
        <v>1298</v>
      </c>
      <c r="C106" s="103" t="s">
        <v>1299</v>
      </c>
      <c r="D106" s="97" t="s">
        <v>551</v>
      </c>
      <c r="E106" s="98"/>
      <c r="F106" s="99" t="s">
        <v>1120</v>
      </c>
      <c r="G106" s="112">
        <v>45950.0</v>
      </c>
      <c r="H106" s="171">
        <v>120000.0</v>
      </c>
      <c r="I106" s="172">
        <v>0.9</v>
      </c>
      <c r="J106" s="99" t="s">
        <v>1300</v>
      </c>
      <c r="K106" s="103" t="s">
        <v>1301</v>
      </c>
    </row>
    <row r="107" ht="22.5" customHeight="1">
      <c r="A107" s="16" t="s">
        <v>582</v>
      </c>
      <c r="B107" s="63" t="s">
        <v>1302</v>
      </c>
      <c r="C107" s="62" t="s">
        <v>1303</v>
      </c>
      <c r="D107" s="56"/>
      <c r="E107" s="56"/>
      <c r="F107" s="169" t="s">
        <v>140</v>
      </c>
      <c r="G107" s="78"/>
      <c r="H107" s="59">
        <v>380000.0</v>
      </c>
      <c r="I107" s="60"/>
      <c r="J107" s="50" t="s">
        <v>48</v>
      </c>
      <c r="K107" s="62" t="s">
        <v>668</v>
      </c>
    </row>
    <row r="108" ht="22.5" customHeight="1">
      <c r="A108" s="16" t="s">
        <v>585</v>
      </c>
      <c r="B108" s="66" t="s">
        <v>1304</v>
      </c>
      <c r="C108" s="67" t="s">
        <v>1305</v>
      </c>
      <c r="D108" s="68"/>
      <c r="E108" s="68"/>
      <c r="F108" s="113" t="s">
        <v>140</v>
      </c>
      <c r="G108" s="83"/>
      <c r="H108" s="71">
        <v>40000.0</v>
      </c>
      <c r="I108" s="72"/>
      <c r="J108" s="76" t="s">
        <v>97</v>
      </c>
      <c r="K108" s="67" t="s">
        <v>668</v>
      </c>
    </row>
    <row r="109" ht="22.5" customHeight="1">
      <c r="A109" s="16" t="s">
        <v>587</v>
      </c>
      <c r="B109" s="63" t="s">
        <v>1306</v>
      </c>
      <c r="C109" s="62" t="s">
        <v>1307</v>
      </c>
      <c r="D109" s="56"/>
      <c r="E109" s="56"/>
      <c r="F109" s="80" t="s">
        <v>460</v>
      </c>
      <c r="G109" s="64">
        <v>46003.0</v>
      </c>
      <c r="H109" s="59">
        <v>200000.0</v>
      </c>
      <c r="I109" s="60"/>
      <c r="J109" s="50" t="s">
        <v>48</v>
      </c>
      <c r="K109" s="62" t="s">
        <v>668</v>
      </c>
    </row>
    <row r="110" ht="22.5" customHeight="1">
      <c r="A110" s="16" t="s">
        <v>590</v>
      </c>
      <c r="B110" s="66" t="s">
        <v>1308</v>
      </c>
      <c r="C110" s="67" t="s">
        <v>1309</v>
      </c>
      <c r="D110" s="68"/>
      <c r="E110" s="68"/>
      <c r="F110" s="113" t="s">
        <v>140</v>
      </c>
      <c r="G110" s="83"/>
      <c r="H110" s="71">
        <v>50000.0</v>
      </c>
      <c r="I110" s="72"/>
      <c r="J110" s="76" t="s">
        <v>97</v>
      </c>
      <c r="K110" s="67" t="s">
        <v>668</v>
      </c>
    </row>
    <row r="111" ht="22.5" customHeight="1">
      <c r="A111" s="16" t="s">
        <v>593</v>
      </c>
      <c r="B111" s="63" t="s">
        <v>1310</v>
      </c>
      <c r="C111" s="62" t="s">
        <v>1311</v>
      </c>
      <c r="D111" s="56"/>
      <c r="E111" s="56"/>
      <c r="F111" s="169" t="s">
        <v>140</v>
      </c>
      <c r="G111" s="78"/>
      <c r="H111" s="59">
        <v>200000.0</v>
      </c>
      <c r="I111" s="60"/>
      <c r="J111" s="65" t="s">
        <v>97</v>
      </c>
      <c r="K111" s="62" t="s">
        <v>668</v>
      </c>
    </row>
    <row r="112" ht="22.5" customHeight="1">
      <c r="A112" s="16" t="s">
        <v>596</v>
      </c>
      <c r="B112" s="66" t="s">
        <v>1312</v>
      </c>
      <c r="C112" s="67" t="s">
        <v>1313</v>
      </c>
      <c r="D112" s="68"/>
      <c r="E112" s="68"/>
      <c r="F112" s="113" t="s">
        <v>140</v>
      </c>
      <c r="G112" s="83"/>
      <c r="H112" s="71">
        <v>150000.0</v>
      </c>
      <c r="I112" s="72"/>
      <c r="J112" s="76" t="s">
        <v>97</v>
      </c>
      <c r="K112" s="67" t="s">
        <v>668</v>
      </c>
    </row>
    <row r="113" ht="22.5" customHeight="1">
      <c r="A113" s="16" t="s">
        <v>599</v>
      </c>
      <c r="B113" s="63" t="s">
        <v>1314</v>
      </c>
      <c r="C113" s="62" t="s">
        <v>1315</v>
      </c>
      <c r="D113" s="56"/>
      <c r="E113" s="56"/>
      <c r="F113" s="169" t="s">
        <v>140</v>
      </c>
      <c r="G113" s="78"/>
      <c r="H113" s="59">
        <v>150000.0</v>
      </c>
      <c r="I113" s="60"/>
      <c r="J113" s="65" t="s">
        <v>97</v>
      </c>
      <c r="K113" s="62" t="s">
        <v>668</v>
      </c>
    </row>
    <row r="114" ht="22.5" customHeight="1">
      <c r="A114" s="16" t="s">
        <v>602</v>
      </c>
      <c r="B114" s="66" t="s">
        <v>1316</v>
      </c>
      <c r="C114" s="67" t="s">
        <v>1317</v>
      </c>
      <c r="D114" s="68"/>
      <c r="E114" s="68"/>
      <c r="F114" s="113" t="s">
        <v>140</v>
      </c>
      <c r="G114" s="83"/>
      <c r="H114" s="71">
        <v>250000.0</v>
      </c>
      <c r="I114" s="72"/>
      <c r="J114" s="76" t="s">
        <v>97</v>
      </c>
      <c r="K114" s="67" t="s">
        <v>668</v>
      </c>
    </row>
    <row r="115" ht="22.5" customHeight="1">
      <c r="A115" s="16" t="s">
        <v>605</v>
      </c>
      <c r="B115" s="63" t="s">
        <v>1318</v>
      </c>
      <c r="C115" s="62" t="s">
        <v>405</v>
      </c>
      <c r="D115" s="56"/>
      <c r="E115" s="56"/>
      <c r="F115" s="169" t="s">
        <v>140</v>
      </c>
      <c r="G115" s="78"/>
      <c r="H115" s="59">
        <v>380000.0</v>
      </c>
      <c r="I115" s="60"/>
      <c r="J115" s="65" t="s">
        <v>97</v>
      </c>
      <c r="K115" s="62" t="s">
        <v>668</v>
      </c>
    </row>
    <row r="116" ht="22.5" customHeight="1">
      <c r="A116" s="16" t="s">
        <v>608</v>
      </c>
      <c r="B116" s="66" t="s">
        <v>1319</v>
      </c>
      <c r="C116" s="67" t="s">
        <v>1320</v>
      </c>
      <c r="D116" s="68"/>
      <c r="E116" s="68"/>
      <c r="F116" s="113" t="s">
        <v>140</v>
      </c>
      <c r="G116" s="83"/>
      <c r="H116" s="71">
        <v>120000.0</v>
      </c>
      <c r="I116" s="72"/>
      <c r="J116" s="76" t="s">
        <v>97</v>
      </c>
      <c r="K116" s="67" t="s">
        <v>668</v>
      </c>
    </row>
    <row r="117" ht="22.5" customHeight="1">
      <c r="A117" s="16" t="s">
        <v>727</v>
      </c>
      <c r="B117" s="103" t="s">
        <v>1321</v>
      </c>
      <c r="C117" s="103" t="s">
        <v>1322</v>
      </c>
      <c r="D117" s="97" t="s">
        <v>551</v>
      </c>
      <c r="E117" s="98"/>
      <c r="F117" s="99" t="s">
        <v>1178</v>
      </c>
      <c r="G117" s="112">
        <v>45976.0</v>
      </c>
      <c r="H117" s="171">
        <v>25000.0</v>
      </c>
      <c r="I117" s="172">
        <v>0.85</v>
      </c>
      <c r="J117" s="99" t="s">
        <v>1300</v>
      </c>
      <c r="K117" s="103" t="s">
        <v>1265</v>
      </c>
    </row>
    <row r="118" ht="22.5" customHeight="1">
      <c r="A118" s="16" t="s">
        <v>611</v>
      </c>
      <c r="B118" s="63" t="s">
        <v>1323</v>
      </c>
      <c r="C118" s="62" t="s">
        <v>1324</v>
      </c>
      <c r="D118" s="56"/>
      <c r="E118" s="56"/>
      <c r="F118" s="169" t="s">
        <v>140</v>
      </c>
      <c r="G118" s="78"/>
      <c r="H118" s="59">
        <v>380000.0</v>
      </c>
      <c r="I118" s="60"/>
      <c r="J118" s="65" t="s">
        <v>97</v>
      </c>
      <c r="K118" s="62" t="s">
        <v>668</v>
      </c>
    </row>
    <row r="119" ht="22.5" customHeight="1">
      <c r="A119" s="16" t="s">
        <v>614</v>
      </c>
      <c r="B119" s="66" t="s">
        <v>687</v>
      </c>
      <c r="C119" s="67" t="s">
        <v>688</v>
      </c>
      <c r="D119" s="68"/>
      <c r="E119" s="68"/>
      <c r="F119" s="81" t="s">
        <v>460</v>
      </c>
      <c r="G119" s="70">
        <v>46014.0</v>
      </c>
      <c r="H119" s="71">
        <v>380000.0</v>
      </c>
      <c r="I119" s="72"/>
      <c r="J119" s="76" t="s">
        <v>97</v>
      </c>
      <c r="K119" s="67" t="s">
        <v>668</v>
      </c>
    </row>
    <row r="120" ht="22.5" customHeight="1">
      <c r="A120" s="16" t="s">
        <v>617</v>
      </c>
      <c r="B120" s="63" t="s">
        <v>1325</v>
      </c>
      <c r="C120" s="62" t="s">
        <v>1326</v>
      </c>
      <c r="D120" s="56"/>
      <c r="E120" s="56"/>
      <c r="F120" s="80" t="s">
        <v>460</v>
      </c>
      <c r="G120" s="64">
        <v>46013.0</v>
      </c>
      <c r="H120" s="59">
        <v>380000.0</v>
      </c>
      <c r="I120" s="60"/>
      <c r="J120" s="65" t="s">
        <v>97</v>
      </c>
      <c r="K120" s="62" t="s">
        <v>668</v>
      </c>
    </row>
    <row r="121" ht="22.5" customHeight="1">
      <c r="A121" s="16" t="s">
        <v>620</v>
      </c>
      <c r="B121" s="66" t="s">
        <v>1327</v>
      </c>
      <c r="C121" s="67" t="s">
        <v>1328</v>
      </c>
      <c r="D121" s="68"/>
      <c r="E121" s="68"/>
      <c r="F121" s="113" t="s">
        <v>140</v>
      </c>
      <c r="G121" s="83"/>
      <c r="H121" s="71">
        <v>100000.0</v>
      </c>
      <c r="I121" s="72"/>
      <c r="J121" s="76" t="s">
        <v>97</v>
      </c>
      <c r="K121" s="67" t="s">
        <v>668</v>
      </c>
    </row>
    <row r="122" ht="22.5" customHeight="1">
      <c r="A122" s="16" t="s">
        <v>623</v>
      </c>
      <c r="B122" s="63" t="s">
        <v>1329</v>
      </c>
      <c r="C122" s="62" t="s">
        <v>1330</v>
      </c>
      <c r="D122" s="56"/>
      <c r="E122" s="56"/>
      <c r="F122" s="169" t="s">
        <v>140</v>
      </c>
      <c r="G122" s="78"/>
      <c r="H122" s="59">
        <v>80000.0</v>
      </c>
      <c r="I122" s="60"/>
      <c r="J122" s="65" t="s">
        <v>97</v>
      </c>
      <c r="K122" s="62" t="s">
        <v>668</v>
      </c>
    </row>
    <row r="123" ht="22.5" customHeight="1">
      <c r="A123" s="16" t="s">
        <v>626</v>
      </c>
      <c r="B123" s="66" t="s">
        <v>1331</v>
      </c>
      <c r="C123" s="67" t="s">
        <v>1332</v>
      </c>
      <c r="D123" s="68"/>
      <c r="E123" s="68"/>
      <c r="F123" s="113" t="s">
        <v>140</v>
      </c>
      <c r="G123" s="83"/>
      <c r="H123" s="71">
        <v>100000.0</v>
      </c>
      <c r="I123" s="72"/>
      <c r="J123" s="76" t="s">
        <v>97</v>
      </c>
      <c r="K123" s="67" t="s">
        <v>668</v>
      </c>
    </row>
    <row r="124" ht="22.5" customHeight="1">
      <c r="A124" s="16" t="s">
        <v>629</v>
      </c>
      <c r="B124" s="63" t="s">
        <v>1333</v>
      </c>
      <c r="C124" s="62" t="s">
        <v>1334</v>
      </c>
      <c r="D124" s="56"/>
      <c r="E124" s="56"/>
      <c r="F124" s="80" t="s">
        <v>460</v>
      </c>
      <c r="G124" s="64">
        <v>46003.0</v>
      </c>
      <c r="H124" s="59">
        <v>200000.0</v>
      </c>
      <c r="I124" s="60"/>
      <c r="J124" s="50" t="s">
        <v>48</v>
      </c>
      <c r="K124" s="62" t="s">
        <v>668</v>
      </c>
    </row>
    <row r="125" ht="22.5" customHeight="1">
      <c r="A125" s="16" t="s">
        <v>632</v>
      </c>
      <c r="B125" s="66" t="s">
        <v>1335</v>
      </c>
      <c r="C125" s="67" t="s">
        <v>1336</v>
      </c>
      <c r="D125" s="68"/>
      <c r="E125" s="68"/>
      <c r="F125" s="113" t="s">
        <v>140</v>
      </c>
      <c r="G125" s="83"/>
      <c r="H125" s="71">
        <v>150000.0</v>
      </c>
      <c r="I125" s="72"/>
      <c r="J125" s="173" t="s">
        <v>48</v>
      </c>
      <c r="K125" s="67" t="s">
        <v>668</v>
      </c>
    </row>
    <row r="126" ht="22.5" customHeight="1">
      <c r="A126" s="16" t="s">
        <v>635</v>
      </c>
      <c r="B126" s="63" t="s">
        <v>1337</v>
      </c>
      <c r="C126" s="62" t="s">
        <v>1338</v>
      </c>
      <c r="D126" s="56"/>
      <c r="E126" s="56"/>
      <c r="F126" s="169" t="s">
        <v>140</v>
      </c>
      <c r="G126" s="78"/>
      <c r="H126" s="59">
        <v>250000.0</v>
      </c>
      <c r="I126" s="60"/>
      <c r="J126" s="65" t="s">
        <v>97</v>
      </c>
      <c r="K126" s="62" t="s">
        <v>668</v>
      </c>
    </row>
    <row r="127" ht="22.5" customHeight="1">
      <c r="A127" s="16" t="s">
        <v>638</v>
      </c>
      <c r="B127" s="66" t="s">
        <v>1339</v>
      </c>
      <c r="C127" s="67" t="s">
        <v>1340</v>
      </c>
      <c r="D127" s="68"/>
      <c r="E127" s="68"/>
      <c r="F127" s="113" t="s">
        <v>140</v>
      </c>
      <c r="G127" s="83"/>
      <c r="H127" s="71">
        <v>380000.0</v>
      </c>
      <c r="I127" s="72"/>
      <c r="J127" s="76" t="s">
        <v>97</v>
      </c>
      <c r="K127" s="67" t="s">
        <v>668</v>
      </c>
    </row>
    <row r="128" ht="22.5" customHeight="1">
      <c r="A128" s="16" t="s">
        <v>470</v>
      </c>
      <c r="B128" s="103" t="s">
        <v>1341</v>
      </c>
      <c r="C128" s="103" t="s">
        <v>1342</v>
      </c>
      <c r="D128" s="97" t="s">
        <v>551</v>
      </c>
      <c r="E128" s="98"/>
      <c r="F128" s="99" t="s">
        <v>1120</v>
      </c>
      <c r="G128" s="112">
        <v>46027.0</v>
      </c>
      <c r="H128" s="171">
        <v>32000.0</v>
      </c>
      <c r="I128" s="172">
        <v>0.5</v>
      </c>
      <c r="J128" s="99" t="s">
        <v>1082</v>
      </c>
      <c r="K128" s="103" t="s">
        <v>1301</v>
      </c>
    </row>
    <row r="129" ht="22.5" customHeight="1">
      <c r="A129" s="16" t="s">
        <v>641</v>
      </c>
      <c r="B129" s="63" t="s">
        <v>1343</v>
      </c>
      <c r="C129" s="62" t="s">
        <v>1344</v>
      </c>
      <c r="D129" s="56"/>
      <c r="E129" s="56"/>
      <c r="F129" s="169" t="s">
        <v>140</v>
      </c>
      <c r="G129" s="78"/>
      <c r="H129" s="59">
        <v>150000.0</v>
      </c>
      <c r="I129" s="60"/>
      <c r="J129" s="65" t="s">
        <v>97</v>
      </c>
      <c r="K129" s="62" t="s">
        <v>668</v>
      </c>
    </row>
    <row r="130" ht="22.5" customHeight="1">
      <c r="A130" s="16" t="s">
        <v>644</v>
      </c>
      <c r="B130" s="66" t="s">
        <v>1345</v>
      </c>
      <c r="C130" s="67" t="s">
        <v>1346</v>
      </c>
      <c r="D130" s="68"/>
      <c r="E130" s="68"/>
      <c r="F130" s="81" t="s">
        <v>460</v>
      </c>
      <c r="G130" s="70">
        <v>46009.0</v>
      </c>
      <c r="H130" s="71">
        <v>100000.0</v>
      </c>
      <c r="I130" s="72"/>
      <c r="J130" s="76" t="s">
        <v>97</v>
      </c>
      <c r="K130" s="67" t="s">
        <v>668</v>
      </c>
    </row>
    <row r="131" ht="22.5" customHeight="1">
      <c r="A131" s="16" t="s">
        <v>647</v>
      </c>
      <c r="B131" s="63" t="s">
        <v>1347</v>
      </c>
      <c r="C131" s="62" t="s">
        <v>1348</v>
      </c>
      <c r="D131" s="56"/>
      <c r="E131" s="56"/>
      <c r="F131" s="169" t="s">
        <v>140</v>
      </c>
      <c r="G131" s="78"/>
      <c r="H131" s="59">
        <v>120000.0</v>
      </c>
      <c r="I131" s="60"/>
      <c r="J131" s="65" t="s">
        <v>97</v>
      </c>
      <c r="K131" s="62" t="s">
        <v>668</v>
      </c>
    </row>
    <row r="132" ht="22.5" customHeight="1">
      <c r="A132" s="16" t="s">
        <v>648</v>
      </c>
      <c r="B132" s="66" t="s">
        <v>689</v>
      </c>
      <c r="C132" s="67" t="s">
        <v>690</v>
      </c>
      <c r="D132" s="68"/>
      <c r="E132" s="68"/>
      <c r="F132" s="81" t="s">
        <v>460</v>
      </c>
      <c r="G132" s="70">
        <v>46020.0</v>
      </c>
      <c r="H132" s="71">
        <v>150000.0</v>
      </c>
      <c r="I132" s="72"/>
      <c r="J132" s="76" t="s">
        <v>97</v>
      </c>
      <c r="K132" s="67" t="s">
        <v>668</v>
      </c>
    </row>
    <row r="133" ht="22.5" customHeight="1">
      <c r="A133" s="16" t="s">
        <v>649</v>
      </c>
      <c r="B133" s="63" t="s">
        <v>692</v>
      </c>
      <c r="C133" s="62" t="s">
        <v>693</v>
      </c>
      <c r="D133" s="56"/>
      <c r="E133" s="56"/>
      <c r="F133" s="80" t="s">
        <v>460</v>
      </c>
      <c r="G133" s="64">
        <v>46012.0</v>
      </c>
      <c r="H133" s="59">
        <v>100000.0</v>
      </c>
      <c r="I133" s="60"/>
      <c r="J133" s="50" t="s">
        <v>48</v>
      </c>
      <c r="K133" s="62" t="s">
        <v>668</v>
      </c>
    </row>
    <row r="134" ht="22.5" customHeight="1">
      <c r="A134" s="16" t="s">
        <v>650</v>
      </c>
      <c r="B134" s="66" t="s">
        <v>1349</v>
      </c>
      <c r="C134" s="67" t="s">
        <v>1350</v>
      </c>
      <c r="D134" s="68"/>
      <c r="E134" s="68"/>
      <c r="F134" s="113" t="s">
        <v>140</v>
      </c>
      <c r="G134" s="83"/>
      <c r="H134" s="71">
        <v>380000.0</v>
      </c>
      <c r="I134" s="72"/>
      <c r="J134" s="173" t="s">
        <v>48</v>
      </c>
      <c r="K134" s="67" t="s">
        <v>668</v>
      </c>
    </row>
    <row r="135" ht="22.5" customHeight="1">
      <c r="A135" s="16" t="s">
        <v>651</v>
      </c>
      <c r="B135" s="63" t="s">
        <v>1351</v>
      </c>
      <c r="C135" s="62" t="s">
        <v>1352</v>
      </c>
      <c r="D135" s="56"/>
      <c r="E135" s="56"/>
      <c r="F135" s="80" t="s">
        <v>460</v>
      </c>
      <c r="G135" s="64">
        <v>46036.0</v>
      </c>
      <c r="H135" s="59">
        <v>380000.0</v>
      </c>
      <c r="I135" s="60"/>
      <c r="J135" s="50" t="s">
        <v>48</v>
      </c>
      <c r="K135" s="62" t="s">
        <v>668</v>
      </c>
    </row>
    <row r="136" ht="22.5" customHeight="1">
      <c r="A136" s="16" t="s">
        <v>652</v>
      </c>
      <c r="B136" s="66" t="s">
        <v>694</v>
      </c>
      <c r="C136" s="67" t="s">
        <v>695</v>
      </c>
      <c r="D136" s="68"/>
      <c r="E136" s="68"/>
      <c r="F136" s="113" t="s">
        <v>140</v>
      </c>
      <c r="G136" s="83"/>
      <c r="H136" s="71">
        <v>80000.0</v>
      </c>
      <c r="I136" s="72"/>
      <c r="J136" s="76" t="s">
        <v>97</v>
      </c>
      <c r="K136" s="67" t="s">
        <v>668</v>
      </c>
    </row>
    <row r="137" ht="22.5" customHeight="1">
      <c r="A137" s="16" t="s">
        <v>653</v>
      </c>
      <c r="B137" s="63" t="s">
        <v>1353</v>
      </c>
      <c r="C137" s="62" t="s">
        <v>1354</v>
      </c>
      <c r="D137" s="56"/>
      <c r="E137" s="56"/>
      <c r="F137" s="169" t="s">
        <v>140</v>
      </c>
      <c r="G137" s="78"/>
      <c r="H137" s="59">
        <v>120000.0</v>
      </c>
      <c r="I137" s="60"/>
      <c r="J137" s="65" t="s">
        <v>97</v>
      </c>
      <c r="K137" s="62" t="s">
        <v>668</v>
      </c>
    </row>
    <row r="138" ht="22.5" customHeight="1">
      <c r="A138" s="16" t="s">
        <v>654</v>
      </c>
      <c r="B138" s="66" t="s">
        <v>1355</v>
      </c>
      <c r="C138" s="67" t="s">
        <v>697</v>
      </c>
      <c r="D138" s="68"/>
      <c r="E138" s="68"/>
      <c r="F138" s="81" t="s">
        <v>460</v>
      </c>
      <c r="G138" s="70">
        <v>46027.0</v>
      </c>
      <c r="H138" s="71">
        <v>380000.0</v>
      </c>
      <c r="I138" s="72"/>
      <c r="J138" s="76" t="s">
        <v>97</v>
      </c>
      <c r="K138" s="67" t="s">
        <v>668</v>
      </c>
    </row>
    <row r="139" ht="22.5" customHeight="1">
      <c r="A139" s="16" t="s">
        <v>473</v>
      </c>
      <c r="B139" s="103" t="s">
        <v>1356</v>
      </c>
      <c r="C139" s="103" t="s">
        <v>1357</v>
      </c>
      <c r="D139" s="97" t="s">
        <v>855</v>
      </c>
      <c r="E139" s="98"/>
      <c r="F139" s="99" t="s">
        <v>55</v>
      </c>
      <c r="G139" s="112">
        <v>45992.0</v>
      </c>
      <c r="H139" s="171">
        <v>90000.0</v>
      </c>
      <c r="I139" s="172">
        <v>0.4</v>
      </c>
      <c r="J139" s="99" t="s">
        <v>48</v>
      </c>
      <c r="K139" s="103" t="s">
        <v>1186</v>
      </c>
    </row>
    <row r="140" ht="22.5" customHeight="1">
      <c r="A140" s="16" t="s">
        <v>655</v>
      </c>
      <c r="B140" s="66" t="s">
        <v>1358</v>
      </c>
      <c r="C140" s="67" t="s">
        <v>1359</v>
      </c>
      <c r="D140" s="68"/>
      <c r="E140" s="68"/>
      <c r="F140" s="81" t="s">
        <v>460</v>
      </c>
      <c r="G140" s="70">
        <v>46036.0</v>
      </c>
      <c r="H140" s="71">
        <v>380000.0</v>
      </c>
      <c r="I140" s="72"/>
      <c r="J140" s="76" t="s">
        <v>97</v>
      </c>
      <c r="K140" s="67" t="s">
        <v>668</v>
      </c>
    </row>
    <row r="141" ht="22.5" customHeight="1">
      <c r="A141" s="16" t="s">
        <v>656</v>
      </c>
      <c r="B141" s="63" t="s">
        <v>1360</v>
      </c>
      <c r="C141" s="62" t="s">
        <v>1361</v>
      </c>
      <c r="D141" s="56"/>
      <c r="E141" s="56"/>
      <c r="F141" s="169" t="s">
        <v>140</v>
      </c>
      <c r="G141" s="78"/>
      <c r="H141" s="59">
        <v>100000.0</v>
      </c>
      <c r="I141" s="60"/>
      <c r="J141" s="50" t="s">
        <v>48</v>
      </c>
      <c r="K141" s="62" t="s">
        <v>668</v>
      </c>
    </row>
    <row r="142" ht="22.5" customHeight="1">
      <c r="A142" s="16" t="s">
        <v>657</v>
      </c>
      <c r="B142" s="66" t="s">
        <v>1362</v>
      </c>
      <c r="C142" s="67" t="s">
        <v>1141</v>
      </c>
      <c r="D142" s="68"/>
      <c r="E142" s="68"/>
      <c r="F142" s="113" t="s">
        <v>140</v>
      </c>
      <c r="G142" s="83"/>
      <c r="H142" s="71">
        <v>380000.0</v>
      </c>
      <c r="I142" s="72"/>
      <c r="J142" s="76" t="s">
        <v>97</v>
      </c>
      <c r="K142" s="67" t="s">
        <v>668</v>
      </c>
    </row>
    <row r="143" ht="22.5" customHeight="1">
      <c r="A143" s="16" t="s">
        <v>658</v>
      </c>
      <c r="B143" s="63" t="s">
        <v>1363</v>
      </c>
      <c r="C143" s="62" t="s">
        <v>1364</v>
      </c>
      <c r="D143" s="56"/>
      <c r="E143" s="56"/>
      <c r="F143" s="169" t="s">
        <v>140</v>
      </c>
      <c r="G143" s="78"/>
      <c r="H143" s="59">
        <v>150000.0</v>
      </c>
      <c r="I143" s="60"/>
      <c r="J143" s="65" t="s">
        <v>97</v>
      </c>
      <c r="K143" s="62" t="s">
        <v>668</v>
      </c>
    </row>
    <row r="144" ht="22.5" customHeight="1">
      <c r="A144" s="16" t="s">
        <v>659</v>
      </c>
      <c r="B144" s="66" t="s">
        <v>1365</v>
      </c>
      <c r="C144" s="67" t="s">
        <v>1366</v>
      </c>
      <c r="D144" s="68"/>
      <c r="E144" s="68"/>
      <c r="F144" s="113" t="s">
        <v>140</v>
      </c>
      <c r="G144" s="83"/>
      <c r="H144" s="71">
        <v>150000.0</v>
      </c>
      <c r="I144" s="72"/>
      <c r="J144" s="76" t="s">
        <v>97</v>
      </c>
      <c r="K144" s="67" t="s">
        <v>668</v>
      </c>
    </row>
    <row r="145" ht="22.5" customHeight="1">
      <c r="A145" s="16" t="s">
        <v>660</v>
      </c>
      <c r="B145" s="63" t="s">
        <v>1367</v>
      </c>
      <c r="C145" s="62" t="s">
        <v>1368</v>
      </c>
      <c r="D145" s="56"/>
      <c r="E145" s="56"/>
      <c r="F145" s="169" t="s">
        <v>140</v>
      </c>
      <c r="G145" s="78"/>
      <c r="H145" s="59">
        <v>150000.0</v>
      </c>
      <c r="I145" s="60"/>
      <c r="J145" s="50" t="s">
        <v>48</v>
      </c>
      <c r="K145" s="62" t="s">
        <v>668</v>
      </c>
    </row>
    <row r="146" ht="22.5" customHeight="1">
      <c r="A146" s="16" t="s">
        <v>661</v>
      </c>
      <c r="B146" s="66" t="s">
        <v>1369</v>
      </c>
      <c r="C146" s="67" t="s">
        <v>1370</v>
      </c>
      <c r="D146" s="68"/>
      <c r="E146" s="68"/>
      <c r="F146" s="113" t="s">
        <v>140</v>
      </c>
      <c r="G146" s="83"/>
      <c r="H146" s="71">
        <v>380000.0</v>
      </c>
      <c r="I146" s="72"/>
      <c r="J146" s="76" t="s">
        <v>97</v>
      </c>
      <c r="K146" s="67" t="s">
        <v>668</v>
      </c>
    </row>
    <row r="147" ht="22.5" customHeight="1">
      <c r="A147" s="16" t="s">
        <v>662</v>
      </c>
      <c r="B147" s="63" t="s">
        <v>1371</v>
      </c>
      <c r="C147" s="62" t="s">
        <v>1372</v>
      </c>
      <c r="D147" s="56"/>
      <c r="E147" s="56"/>
      <c r="F147" s="169" t="s">
        <v>140</v>
      </c>
      <c r="G147" s="78"/>
      <c r="H147" s="59">
        <v>100000.0</v>
      </c>
      <c r="I147" s="60"/>
      <c r="J147" s="50" t="s">
        <v>48</v>
      </c>
      <c r="K147" s="62" t="s">
        <v>668</v>
      </c>
    </row>
    <row r="148" ht="22.5" customHeight="1">
      <c r="A148" s="16" t="s">
        <v>663</v>
      </c>
      <c r="B148" s="66" t="s">
        <v>1373</v>
      </c>
      <c r="C148" s="67" t="s">
        <v>1374</v>
      </c>
      <c r="D148" s="68"/>
      <c r="E148" s="68"/>
      <c r="F148" s="113" t="s">
        <v>140</v>
      </c>
      <c r="G148" s="83"/>
      <c r="H148" s="71">
        <v>250000.0</v>
      </c>
      <c r="I148" s="72"/>
      <c r="J148" s="76" t="s">
        <v>97</v>
      </c>
      <c r="K148" s="67" t="s">
        <v>668</v>
      </c>
    </row>
    <row r="149" ht="22.5" customHeight="1">
      <c r="A149" s="16" t="s">
        <v>664</v>
      </c>
      <c r="B149" s="63" t="s">
        <v>1375</v>
      </c>
      <c r="C149" s="62" t="s">
        <v>1376</v>
      </c>
      <c r="D149" s="56"/>
      <c r="E149" s="56"/>
      <c r="F149" s="169" t="s">
        <v>140</v>
      </c>
      <c r="G149" s="78"/>
      <c r="H149" s="59">
        <v>100000.0</v>
      </c>
      <c r="I149" s="60"/>
      <c r="J149" s="65" t="s">
        <v>97</v>
      </c>
      <c r="K149" s="62" t="s">
        <v>668</v>
      </c>
    </row>
    <row r="150" ht="22.5" customHeight="1">
      <c r="A150" s="16" t="s">
        <v>476</v>
      </c>
      <c r="B150" s="2" t="s">
        <v>1377</v>
      </c>
      <c r="C150" s="7"/>
      <c r="D150" s="174" t="s">
        <v>855</v>
      </c>
      <c r="E150" s="175"/>
      <c r="F150" s="176"/>
      <c r="G150" s="177"/>
      <c r="H150" s="178"/>
      <c r="I150" s="179"/>
      <c r="J150" s="176"/>
      <c r="K150" s="7"/>
    </row>
    <row r="151" ht="22.5" customHeight="1">
      <c r="A151" s="16" t="s">
        <v>665</v>
      </c>
      <c r="B151" s="67" t="s">
        <v>1378</v>
      </c>
      <c r="C151" s="67" t="s">
        <v>1379</v>
      </c>
      <c r="D151" s="68"/>
      <c r="E151" s="68"/>
      <c r="F151" s="113" t="s">
        <v>140</v>
      </c>
      <c r="G151" s="83"/>
      <c r="H151" s="71">
        <v>150000.0</v>
      </c>
      <c r="I151" s="72"/>
      <c r="J151" s="75" t="s">
        <v>676</v>
      </c>
      <c r="K151" s="67" t="s">
        <v>668</v>
      </c>
    </row>
    <row r="152" ht="22.5" customHeight="1">
      <c r="A152" s="16" t="s">
        <v>791</v>
      </c>
      <c r="B152" s="63" t="s">
        <v>1380</v>
      </c>
      <c r="C152" s="62" t="s">
        <v>1381</v>
      </c>
      <c r="D152" s="56"/>
      <c r="E152" s="56"/>
      <c r="F152" s="169" t="s">
        <v>140</v>
      </c>
      <c r="G152" s="78"/>
      <c r="H152" s="59">
        <v>380000.0</v>
      </c>
      <c r="I152" s="60"/>
      <c r="J152" s="50" t="s">
        <v>48</v>
      </c>
      <c r="K152" s="62" t="s">
        <v>668</v>
      </c>
    </row>
    <row r="153" ht="22.5" customHeight="1">
      <c r="A153" s="16" t="s">
        <v>792</v>
      </c>
      <c r="B153" s="66" t="s">
        <v>1382</v>
      </c>
      <c r="C153" s="67" t="s">
        <v>1383</v>
      </c>
      <c r="D153" s="68"/>
      <c r="E153" s="68"/>
      <c r="F153" s="113" t="s">
        <v>140</v>
      </c>
      <c r="G153" s="83"/>
      <c r="H153" s="71">
        <v>200000.0</v>
      </c>
      <c r="I153" s="72"/>
      <c r="J153" s="76" t="s">
        <v>97</v>
      </c>
      <c r="K153" s="67" t="s">
        <v>668</v>
      </c>
    </row>
    <row r="154" ht="22.5" customHeight="1">
      <c r="A154" s="16" t="s">
        <v>793</v>
      </c>
      <c r="B154" s="63" t="s">
        <v>698</v>
      </c>
      <c r="C154" s="62" t="s">
        <v>699</v>
      </c>
      <c r="D154" s="56"/>
      <c r="E154" s="56"/>
      <c r="F154" s="80" t="s">
        <v>460</v>
      </c>
      <c r="G154" s="78"/>
      <c r="H154" s="59">
        <v>760000.0</v>
      </c>
      <c r="I154" s="60"/>
      <c r="J154" s="50" t="s">
        <v>48</v>
      </c>
      <c r="K154" s="62" t="s">
        <v>668</v>
      </c>
    </row>
    <row r="155" ht="22.5" customHeight="1">
      <c r="A155" s="16" t="s">
        <v>794</v>
      </c>
      <c r="B155" s="66" t="s">
        <v>1384</v>
      </c>
      <c r="C155" s="67" t="s">
        <v>1385</v>
      </c>
      <c r="D155" s="68"/>
      <c r="E155" s="68"/>
      <c r="F155" s="113" t="s">
        <v>140</v>
      </c>
      <c r="G155" s="70">
        <v>46000.0</v>
      </c>
      <c r="H155" s="71">
        <v>200000.0</v>
      </c>
      <c r="I155" s="72"/>
      <c r="J155" s="173" t="s">
        <v>48</v>
      </c>
      <c r="K155" s="67" t="s">
        <v>668</v>
      </c>
    </row>
    <row r="156" ht="22.5" customHeight="1">
      <c r="A156" s="16" t="s">
        <v>795</v>
      </c>
      <c r="B156" s="62" t="s">
        <v>1386</v>
      </c>
      <c r="C156" s="62" t="s">
        <v>1387</v>
      </c>
      <c r="D156" s="56"/>
      <c r="E156" s="56"/>
      <c r="F156" s="169" t="s">
        <v>140</v>
      </c>
      <c r="G156" s="78"/>
      <c r="H156" s="59">
        <v>380000.0</v>
      </c>
      <c r="I156" s="60"/>
      <c r="J156" s="180" t="s">
        <v>524</v>
      </c>
      <c r="K156" s="62" t="s">
        <v>668</v>
      </c>
    </row>
    <row r="157" ht="22.5" customHeight="1">
      <c r="A157" s="16" t="s">
        <v>796</v>
      </c>
      <c r="B157" s="66" t="s">
        <v>1388</v>
      </c>
      <c r="C157" s="67" t="s">
        <v>1389</v>
      </c>
      <c r="D157" s="68"/>
      <c r="E157" s="68"/>
      <c r="F157" s="81" t="s">
        <v>460</v>
      </c>
      <c r="G157" s="181">
        <v>45940.0</v>
      </c>
      <c r="H157" s="71">
        <v>760000.0</v>
      </c>
      <c r="I157" s="72"/>
      <c r="J157" s="76" t="s">
        <v>97</v>
      </c>
      <c r="K157" s="67" t="s">
        <v>668</v>
      </c>
    </row>
    <row r="158" ht="22.5" customHeight="1">
      <c r="A158" s="16" t="s">
        <v>797</v>
      </c>
      <c r="B158" s="62" t="s">
        <v>700</v>
      </c>
      <c r="C158" s="62" t="s">
        <v>701</v>
      </c>
      <c r="D158" s="56"/>
      <c r="E158" s="56"/>
      <c r="F158" s="80" t="s">
        <v>460</v>
      </c>
      <c r="G158" s="85">
        <v>45995.0</v>
      </c>
      <c r="H158" s="59">
        <v>380000.0</v>
      </c>
      <c r="I158" s="60"/>
      <c r="J158" s="50" t="s">
        <v>48</v>
      </c>
      <c r="K158" s="62" t="s">
        <v>668</v>
      </c>
    </row>
    <row r="159" ht="22.5" customHeight="1">
      <c r="A159" s="16" t="s">
        <v>798</v>
      </c>
      <c r="B159" s="63" t="s">
        <v>1390</v>
      </c>
      <c r="C159" s="62" t="s">
        <v>1391</v>
      </c>
      <c r="D159" s="18"/>
      <c r="E159" s="19"/>
      <c r="F159" s="9" t="s">
        <v>140</v>
      </c>
      <c r="G159" s="20"/>
      <c r="H159" s="11">
        <v>120000.0</v>
      </c>
      <c r="I159" s="21"/>
      <c r="J159" s="50" t="s">
        <v>48</v>
      </c>
      <c r="K159" s="62" t="s">
        <v>668</v>
      </c>
    </row>
    <row r="160" ht="22.5" customHeight="1">
      <c r="A160" s="16" t="s">
        <v>799</v>
      </c>
      <c r="B160" s="63" t="s">
        <v>1392</v>
      </c>
      <c r="C160" s="62" t="s">
        <v>1393</v>
      </c>
      <c r="D160" s="18"/>
      <c r="E160" s="19"/>
      <c r="F160" s="9" t="s">
        <v>460</v>
      </c>
      <c r="G160" s="20"/>
      <c r="H160" s="11">
        <v>380000.0</v>
      </c>
      <c r="I160" s="21"/>
      <c r="J160" s="50" t="s">
        <v>48</v>
      </c>
      <c r="K160" s="62" t="s">
        <v>668</v>
      </c>
    </row>
    <row r="161" ht="22.5" customHeight="1">
      <c r="A161" s="16" t="s">
        <v>479</v>
      </c>
      <c r="B161" s="17"/>
      <c r="C161" s="12"/>
      <c r="D161" s="97" t="s">
        <v>855</v>
      </c>
      <c r="E161" s="175"/>
      <c r="F161" s="108"/>
      <c r="G161" s="48"/>
      <c r="H161" s="49"/>
      <c r="I161" s="21"/>
      <c r="J161" s="108"/>
      <c r="K161" s="12"/>
    </row>
    <row r="162" ht="22.5" customHeight="1">
      <c r="A162" s="16" t="s">
        <v>800</v>
      </c>
      <c r="B162" s="17" t="s">
        <v>702</v>
      </c>
      <c r="C162" s="17" t="s">
        <v>1394</v>
      </c>
      <c r="D162" s="18"/>
      <c r="E162" s="19"/>
      <c r="F162" s="9" t="s">
        <v>127</v>
      </c>
      <c r="G162" s="20">
        <v>45931.0</v>
      </c>
      <c r="H162" s="11">
        <v>932975.55</v>
      </c>
      <c r="I162" s="21"/>
      <c r="J162" s="76" t="s">
        <v>97</v>
      </c>
      <c r="K162" s="62" t="s">
        <v>668</v>
      </c>
    </row>
    <row r="163" ht="22.5" customHeight="1">
      <c r="A163" s="16" t="s">
        <v>801</v>
      </c>
      <c r="B163" s="17" t="s">
        <v>706</v>
      </c>
      <c r="C163" s="17" t="s">
        <v>707</v>
      </c>
      <c r="D163" s="18"/>
      <c r="E163" s="19"/>
      <c r="F163" s="9" t="s">
        <v>67</v>
      </c>
      <c r="G163" s="20">
        <v>45992.0</v>
      </c>
      <c r="H163" s="11">
        <v>129207.59</v>
      </c>
      <c r="I163" s="21"/>
      <c r="J163" s="50" t="s">
        <v>48</v>
      </c>
      <c r="K163" s="62" t="s">
        <v>668</v>
      </c>
    </row>
    <row r="164" ht="22.5" customHeight="1">
      <c r="A164" s="16" t="s">
        <v>802</v>
      </c>
      <c r="B164" s="17" t="s">
        <v>708</v>
      </c>
      <c r="C164" s="17" t="s">
        <v>709</v>
      </c>
      <c r="D164" s="18"/>
      <c r="E164" s="19"/>
      <c r="F164" s="9" t="s">
        <v>491</v>
      </c>
      <c r="G164" s="20">
        <v>45988.0</v>
      </c>
      <c r="H164" s="11">
        <v>16756.24</v>
      </c>
      <c r="I164" s="21"/>
      <c r="J164" s="22" t="s">
        <v>710</v>
      </c>
      <c r="K164" s="62" t="s">
        <v>668</v>
      </c>
    </row>
    <row r="165" ht="22.5" customHeight="1">
      <c r="A165" s="16" t="s">
        <v>803</v>
      </c>
      <c r="B165" s="17" t="s">
        <v>711</v>
      </c>
      <c r="C165" s="17" t="s">
        <v>712</v>
      </c>
      <c r="D165" s="18"/>
      <c r="E165" s="19"/>
      <c r="F165" s="9" t="s">
        <v>37</v>
      </c>
      <c r="G165" s="20">
        <v>45985.0</v>
      </c>
      <c r="H165" s="11">
        <v>25000.0</v>
      </c>
      <c r="I165" s="21"/>
      <c r="J165" s="22" t="s">
        <v>562</v>
      </c>
      <c r="K165" s="62" t="s">
        <v>668</v>
      </c>
    </row>
    <row r="166" ht="22.5" customHeight="1">
      <c r="A166" s="16" t="s">
        <v>34</v>
      </c>
      <c r="B166" s="17" t="s">
        <v>35</v>
      </c>
      <c r="C166" s="17" t="s">
        <v>36</v>
      </c>
      <c r="D166" s="18"/>
      <c r="E166" s="19"/>
      <c r="F166" s="9" t="s">
        <v>37</v>
      </c>
      <c r="G166" s="20">
        <v>46043.0</v>
      </c>
      <c r="H166" s="11">
        <v>385000.0</v>
      </c>
      <c r="I166" s="21"/>
      <c r="J166" s="22" t="s">
        <v>39</v>
      </c>
      <c r="K166" s="23" t="s">
        <v>40</v>
      </c>
    </row>
    <row r="167" ht="22.5" customHeight="1">
      <c r="A167" s="16" t="s">
        <v>34</v>
      </c>
      <c r="B167" s="17" t="s">
        <v>713</v>
      </c>
      <c r="C167" s="17" t="s">
        <v>714</v>
      </c>
      <c r="D167" s="18"/>
      <c r="E167" s="19"/>
      <c r="F167" s="9" t="s">
        <v>491</v>
      </c>
      <c r="G167" s="20">
        <v>45992.0</v>
      </c>
      <c r="H167" s="11">
        <v>1599.25</v>
      </c>
      <c r="I167" s="21"/>
      <c r="J167" s="22" t="s">
        <v>562</v>
      </c>
      <c r="K167" s="62" t="s">
        <v>668</v>
      </c>
    </row>
    <row r="168" ht="22.5" customHeight="1">
      <c r="A168" s="16" t="s">
        <v>41</v>
      </c>
      <c r="B168" s="17" t="s">
        <v>42</v>
      </c>
      <c r="C168" s="17" t="s">
        <v>43</v>
      </c>
      <c r="D168" s="18"/>
      <c r="E168" s="19"/>
      <c r="F168" s="9" t="s">
        <v>37</v>
      </c>
      <c r="G168" s="20">
        <v>46043.0</v>
      </c>
      <c r="H168" s="11">
        <v>385000.0</v>
      </c>
      <c r="I168" s="21"/>
      <c r="J168" s="22" t="s">
        <v>39</v>
      </c>
      <c r="K168" s="23" t="s">
        <v>40</v>
      </c>
    </row>
    <row r="169" ht="22.5" customHeight="1">
      <c r="A169" s="16" t="s">
        <v>41</v>
      </c>
      <c r="B169" s="17" t="s">
        <v>715</v>
      </c>
      <c r="C169" s="17" t="s">
        <v>714</v>
      </c>
      <c r="D169" s="18"/>
      <c r="E169" s="19"/>
      <c r="F169" s="9" t="s">
        <v>491</v>
      </c>
      <c r="G169" s="20">
        <v>46030.0</v>
      </c>
      <c r="H169" s="11">
        <v>2015.57</v>
      </c>
      <c r="I169" s="21"/>
      <c r="J169" s="22" t="s">
        <v>562</v>
      </c>
      <c r="K169" s="62" t="s">
        <v>668</v>
      </c>
    </row>
    <row r="170" ht="22.5" customHeight="1">
      <c r="A170" s="16" t="s">
        <v>44</v>
      </c>
      <c r="B170" s="17" t="s">
        <v>45</v>
      </c>
      <c r="C170" s="17" t="s">
        <v>46</v>
      </c>
      <c r="D170" s="18"/>
      <c r="E170" s="19"/>
      <c r="F170" s="9" t="s">
        <v>47</v>
      </c>
      <c r="G170" s="20">
        <v>45842.0</v>
      </c>
      <c r="H170" s="11">
        <v>416563.07</v>
      </c>
      <c r="I170" s="21"/>
      <c r="J170" s="22" t="s">
        <v>48</v>
      </c>
      <c r="K170" s="23" t="s">
        <v>40</v>
      </c>
    </row>
    <row r="171" ht="22.5" customHeight="1">
      <c r="A171" s="16" t="s">
        <v>49</v>
      </c>
      <c r="B171" s="17" t="s">
        <v>50</v>
      </c>
      <c r="C171" s="17" t="s">
        <v>51</v>
      </c>
      <c r="D171" s="18"/>
      <c r="E171" s="19"/>
      <c r="F171" s="9" t="s">
        <v>47</v>
      </c>
      <c r="G171" s="20">
        <v>45957.0</v>
      </c>
      <c r="H171" s="11">
        <v>216144.98</v>
      </c>
      <c r="I171" s="21"/>
      <c r="J171" s="22" t="s">
        <v>48</v>
      </c>
      <c r="K171" s="23" t="s">
        <v>40</v>
      </c>
    </row>
    <row r="172" ht="22.5" customHeight="1">
      <c r="A172" s="16" t="s">
        <v>52</v>
      </c>
      <c r="B172" s="17" t="s">
        <v>53</v>
      </c>
      <c r="C172" s="17" t="s">
        <v>54</v>
      </c>
      <c r="D172" s="18"/>
      <c r="E172" s="19"/>
      <c r="F172" s="9" t="s">
        <v>55</v>
      </c>
      <c r="G172" s="20">
        <v>45217.0</v>
      </c>
      <c r="H172" s="11">
        <v>444000.0</v>
      </c>
      <c r="I172" s="21"/>
      <c r="J172" s="22" t="s">
        <v>56</v>
      </c>
      <c r="K172" s="23" t="s">
        <v>40</v>
      </c>
    </row>
    <row r="173" ht="22.5" customHeight="1">
      <c r="A173" s="16" t="s">
        <v>57</v>
      </c>
      <c r="B173" s="17" t="s">
        <v>58</v>
      </c>
      <c r="C173" s="17" t="s">
        <v>59</v>
      </c>
      <c r="D173" s="18"/>
      <c r="E173" s="19"/>
      <c r="F173" s="9" t="s">
        <v>47</v>
      </c>
      <c r="G173" s="20">
        <v>45212.0</v>
      </c>
      <c r="H173" s="11">
        <v>510132.0</v>
      </c>
      <c r="I173" s="21"/>
      <c r="J173" s="22" t="s">
        <v>48</v>
      </c>
      <c r="K173" s="23" t="s">
        <v>40</v>
      </c>
    </row>
    <row r="174" ht="22.5" customHeight="1">
      <c r="A174" s="51"/>
      <c r="B174" s="17" t="s">
        <v>262</v>
      </c>
      <c r="C174" s="17" t="s">
        <v>263</v>
      </c>
      <c r="D174" s="18"/>
      <c r="E174" s="19"/>
      <c r="F174" s="182"/>
      <c r="G174" s="48"/>
      <c r="H174" s="49"/>
      <c r="I174" s="21"/>
      <c r="J174" s="50"/>
      <c r="K174" s="23" t="s">
        <v>40</v>
      </c>
    </row>
    <row r="175" ht="22.5" customHeight="1">
      <c r="A175" s="51"/>
      <c r="B175" s="17" t="s">
        <v>265</v>
      </c>
      <c r="C175" s="17" t="s">
        <v>266</v>
      </c>
      <c r="D175" s="18"/>
      <c r="E175" s="19"/>
      <c r="F175" s="182"/>
      <c r="G175" s="48"/>
      <c r="H175" s="49"/>
      <c r="I175" s="21"/>
      <c r="J175" s="50"/>
      <c r="K175" s="23" t="s">
        <v>40</v>
      </c>
    </row>
    <row r="176" ht="22.5" customHeight="1">
      <c r="A176" s="51"/>
      <c r="B176" s="17" t="s">
        <v>268</v>
      </c>
      <c r="C176" s="17" t="s">
        <v>269</v>
      </c>
      <c r="D176" s="18"/>
      <c r="E176" s="19"/>
      <c r="F176" s="182"/>
      <c r="G176" s="48"/>
      <c r="H176" s="49"/>
      <c r="I176" s="21"/>
      <c r="J176" s="50"/>
      <c r="K176" s="23" t="s">
        <v>40</v>
      </c>
    </row>
    <row r="177" ht="22.5" customHeight="1">
      <c r="A177" s="51"/>
      <c r="B177" s="17" t="s">
        <v>271</v>
      </c>
      <c r="C177" s="17" t="s">
        <v>272</v>
      </c>
      <c r="D177" s="18"/>
      <c r="E177" s="19"/>
      <c r="F177" s="182"/>
      <c r="G177" s="48"/>
      <c r="H177" s="49"/>
      <c r="I177" s="21"/>
      <c r="J177" s="50"/>
      <c r="K177" s="23" t="s">
        <v>40</v>
      </c>
    </row>
    <row r="178" ht="22.5" customHeight="1">
      <c r="A178" s="51"/>
      <c r="B178" s="17" t="s">
        <v>274</v>
      </c>
      <c r="C178" s="17" t="s">
        <v>275</v>
      </c>
      <c r="D178" s="18"/>
      <c r="E178" s="19"/>
      <c r="F178" s="182"/>
      <c r="G178" s="48"/>
      <c r="H178" s="49"/>
      <c r="I178" s="21"/>
      <c r="J178" s="50"/>
      <c r="K178" s="23" t="s">
        <v>40</v>
      </c>
    </row>
    <row r="179" ht="22.5" customHeight="1">
      <c r="A179" s="51"/>
      <c r="B179" s="17" t="s">
        <v>277</v>
      </c>
      <c r="C179" s="17" t="s">
        <v>278</v>
      </c>
      <c r="D179" s="18"/>
      <c r="E179" s="19"/>
      <c r="F179" s="182"/>
      <c r="G179" s="48"/>
      <c r="H179" s="49"/>
      <c r="I179" s="21"/>
      <c r="J179" s="50"/>
      <c r="K179" s="23" t="s">
        <v>40</v>
      </c>
    </row>
    <row r="180" ht="22.5" customHeight="1">
      <c r="A180" s="51"/>
      <c r="B180" s="17" t="s">
        <v>280</v>
      </c>
      <c r="C180" s="17" t="s">
        <v>281</v>
      </c>
      <c r="D180" s="18"/>
      <c r="E180" s="19"/>
      <c r="F180" s="182"/>
      <c r="G180" s="48"/>
      <c r="H180" s="49"/>
      <c r="I180" s="21"/>
      <c r="J180" s="50"/>
      <c r="K180" s="23" t="s">
        <v>40</v>
      </c>
    </row>
    <row r="181" ht="22.5" customHeight="1">
      <c r="A181" s="51"/>
      <c r="B181" s="17" t="s">
        <v>283</v>
      </c>
      <c r="C181" s="17" t="s">
        <v>284</v>
      </c>
      <c r="D181" s="18"/>
      <c r="E181" s="19"/>
      <c r="F181" s="182"/>
      <c r="G181" s="48"/>
      <c r="H181" s="49"/>
      <c r="I181" s="21"/>
      <c r="J181" s="50"/>
      <c r="K181" s="23" t="s">
        <v>40</v>
      </c>
    </row>
    <row r="182" ht="22.5" customHeight="1">
      <c r="A182" s="51"/>
      <c r="B182" s="17" t="s">
        <v>286</v>
      </c>
      <c r="C182" s="17" t="s">
        <v>287</v>
      </c>
      <c r="D182" s="18"/>
      <c r="E182" s="19"/>
      <c r="F182" s="182"/>
      <c r="G182" s="48"/>
      <c r="H182" s="49"/>
      <c r="I182" s="21"/>
      <c r="J182" s="50"/>
      <c r="K182" s="23" t="s">
        <v>40</v>
      </c>
    </row>
    <row r="183" ht="22.5" customHeight="1">
      <c r="A183" s="51"/>
      <c r="B183" s="17" t="s">
        <v>289</v>
      </c>
      <c r="C183" s="17" t="s">
        <v>290</v>
      </c>
      <c r="D183" s="18"/>
      <c r="E183" s="19"/>
      <c r="F183" s="182"/>
      <c r="G183" s="48"/>
      <c r="H183" s="49"/>
      <c r="I183" s="21"/>
      <c r="J183" s="50"/>
      <c r="K183" s="23" t="s">
        <v>40</v>
      </c>
    </row>
    <row r="184" ht="22.5" customHeight="1">
      <c r="A184" s="51"/>
      <c r="B184" s="17" t="s">
        <v>292</v>
      </c>
      <c r="C184" s="17" t="s">
        <v>293</v>
      </c>
      <c r="D184" s="18"/>
      <c r="E184" s="19"/>
      <c r="F184" s="182"/>
      <c r="G184" s="48"/>
      <c r="H184" s="49"/>
      <c r="I184" s="21"/>
      <c r="J184" s="50"/>
      <c r="K184" s="23" t="s">
        <v>40</v>
      </c>
    </row>
    <row r="185" ht="22.5" customHeight="1">
      <c r="A185" s="51"/>
      <c r="B185" s="17" t="s">
        <v>295</v>
      </c>
      <c r="C185" s="17" t="s">
        <v>296</v>
      </c>
      <c r="D185" s="18"/>
      <c r="E185" s="19"/>
      <c r="F185" s="182"/>
      <c r="G185" s="48"/>
      <c r="H185" s="49"/>
      <c r="I185" s="21"/>
      <c r="J185" s="50"/>
      <c r="K185" s="23" t="s">
        <v>40</v>
      </c>
    </row>
    <row r="186" ht="22.5" customHeight="1">
      <c r="A186" s="51"/>
      <c r="B186" s="17" t="s">
        <v>298</v>
      </c>
      <c r="C186" s="17" t="s">
        <v>299</v>
      </c>
      <c r="D186" s="18"/>
      <c r="E186" s="19"/>
      <c r="F186" s="182"/>
      <c r="G186" s="48"/>
      <c r="H186" s="49"/>
      <c r="I186" s="21"/>
      <c r="J186" s="50"/>
      <c r="K186" s="23" t="s">
        <v>40</v>
      </c>
    </row>
    <row r="187" ht="22.5" customHeight="1">
      <c r="A187" s="51"/>
      <c r="B187" s="17" t="s">
        <v>301</v>
      </c>
      <c r="C187" s="17" t="s">
        <v>302</v>
      </c>
      <c r="D187" s="18"/>
      <c r="E187" s="19"/>
      <c r="F187" s="182"/>
      <c r="G187" s="48"/>
      <c r="H187" s="49"/>
      <c r="I187" s="21"/>
      <c r="J187" s="50"/>
      <c r="K187" s="23" t="s">
        <v>40</v>
      </c>
    </row>
    <row r="188" ht="22.5" customHeight="1">
      <c r="A188" s="51"/>
      <c r="B188" s="17" t="s">
        <v>304</v>
      </c>
      <c r="C188" s="17" t="s">
        <v>305</v>
      </c>
      <c r="D188" s="18"/>
      <c r="E188" s="19"/>
      <c r="F188" s="182"/>
      <c r="G188" s="48"/>
      <c r="H188" s="49"/>
      <c r="I188" s="21"/>
      <c r="J188" s="50"/>
      <c r="K188" s="23" t="s">
        <v>40</v>
      </c>
    </row>
    <row r="189" ht="22.5" customHeight="1">
      <c r="A189" s="51"/>
      <c r="B189" s="17" t="s">
        <v>307</v>
      </c>
      <c r="C189" s="17" t="s">
        <v>308</v>
      </c>
      <c r="D189" s="18"/>
      <c r="E189" s="19"/>
      <c r="F189" s="182"/>
      <c r="G189" s="48"/>
      <c r="H189" s="49"/>
      <c r="I189" s="21"/>
      <c r="J189" s="50"/>
      <c r="K189" s="23" t="s">
        <v>40</v>
      </c>
    </row>
    <row r="190" ht="22.5" customHeight="1">
      <c r="A190" s="51"/>
      <c r="B190" s="17" t="s">
        <v>310</v>
      </c>
      <c r="C190" s="17" t="s">
        <v>311</v>
      </c>
      <c r="D190" s="18"/>
      <c r="E190" s="19"/>
      <c r="F190" s="182"/>
      <c r="G190" s="48"/>
      <c r="H190" s="49"/>
      <c r="I190" s="21"/>
      <c r="J190" s="50"/>
      <c r="K190" s="23" t="s">
        <v>40</v>
      </c>
    </row>
    <row r="191" ht="22.5" customHeight="1">
      <c r="A191" s="51"/>
      <c r="B191" s="17" t="s">
        <v>313</v>
      </c>
      <c r="C191" s="17" t="s">
        <v>130</v>
      </c>
      <c r="D191" s="18"/>
      <c r="E191" s="19"/>
      <c r="F191" s="182"/>
      <c r="G191" s="48"/>
      <c r="H191" s="49"/>
      <c r="I191" s="21"/>
      <c r="J191" s="50"/>
      <c r="K191" s="23" t="s">
        <v>40</v>
      </c>
    </row>
    <row r="192" ht="22.5" customHeight="1">
      <c r="A192" s="51"/>
      <c r="B192" s="17" t="s">
        <v>315</v>
      </c>
      <c r="C192" s="17" t="s">
        <v>316</v>
      </c>
      <c r="D192" s="18"/>
      <c r="E192" s="19"/>
      <c r="F192" s="182"/>
      <c r="G192" s="48"/>
      <c r="H192" s="49"/>
      <c r="I192" s="21"/>
      <c r="J192" s="50"/>
      <c r="K192" s="23" t="s">
        <v>40</v>
      </c>
    </row>
    <row r="193" ht="22.5" customHeight="1">
      <c r="A193" s="51"/>
      <c r="B193" s="17" t="s">
        <v>318</v>
      </c>
      <c r="C193" s="17" t="s">
        <v>319</v>
      </c>
      <c r="D193" s="18"/>
      <c r="E193" s="19"/>
      <c r="F193" s="182"/>
      <c r="G193" s="48"/>
      <c r="H193" s="49"/>
      <c r="I193" s="21"/>
      <c r="J193" s="50"/>
      <c r="K193" s="23" t="s">
        <v>40</v>
      </c>
    </row>
    <row r="194" ht="22.5" customHeight="1">
      <c r="A194" s="51"/>
      <c r="B194" s="17" t="s">
        <v>321</v>
      </c>
      <c r="C194" s="17" t="s">
        <v>322</v>
      </c>
      <c r="D194" s="18"/>
      <c r="E194" s="19"/>
      <c r="F194" s="182"/>
      <c r="G194" s="48"/>
      <c r="H194" s="49"/>
      <c r="I194" s="21"/>
      <c r="J194" s="50"/>
      <c r="K194" s="23" t="s">
        <v>40</v>
      </c>
    </row>
    <row r="195" ht="22.5" customHeight="1">
      <c r="A195" s="51"/>
      <c r="B195" s="17" t="s">
        <v>324</v>
      </c>
      <c r="C195" s="17" t="s">
        <v>325</v>
      </c>
      <c r="D195" s="18"/>
      <c r="E195" s="19"/>
      <c r="F195" s="182"/>
      <c r="G195" s="48"/>
      <c r="H195" s="49"/>
      <c r="I195" s="21"/>
      <c r="J195" s="50"/>
      <c r="K195" s="23" t="s">
        <v>40</v>
      </c>
    </row>
    <row r="196" ht="22.5" customHeight="1">
      <c r="A196" s="51"/>
      <c r="B196" s="17" t="s">
        <v>327</v>
      </c>
      <c r="C196" s="17"/>
      <c r="D196" s="18"/>
      <c r="E196" s="19"/>
      <c r="F196" s="182"/>
      <c r="G196" s="48"/>
      <c r="H196" s="49"/>
      <c r="I196" s="21"/>
      <c r="J196" s="50"/>
      <c r="K196" s="23" t="s">
        <v>40</v>
      </c>
    </row>
    <row r="197" ht="22.5" customHeight="1">
      <c r="A197" s="51"/>
      <c r="B197" s="17" t="s">
        <v>329</v>
      </c>
      <c r="C197" s="17" t="s">
        <v>210</v>
      </c>
      <c r="D197" s="18"/>
      <c r="E197" s="19"/>
      <c r="F197" s="182"/>
      <c r="G197" s="48"/>
      <c r="H197" s="49"/>
      <c r="I197" s="21"/>
      <c r="J197" s="50"/>
      <c r="K197" s="23" t="s">
        <v>40</v>
      </c>
    </row>
    <row r="198" ht="22.5" customHeight="1">
      <c r="A198" s="51"/>
      <c r="B198" s="17" t="s">
        <v>331</v>
      </c>
      <c r="C198" s="17" t="s">
        <v>332</v>
      </c>
      <c r="D198" s="18"/>
      <c r="E198" s="19"/>
      <c r="F198" s="182"/>
      <c r="G198" s="48"/>
      <c r="H198" s="49"/>
      <c r="I198" s="21"/>
      <c r="J198" s="50"/>
      <c r="K198" s="23" t="s">
        <v>40</v>
      </c>
    </row>
    <row r="199" ht="22.5" customHeight="1">
      <c r="A199" s="51"/>
      <c r="B199" s="17" t="s">
        <v>334</v>
      </c>
      <c r="C199" s="17" t="s">
        <v>335</v>
      </c>
      <c r="D199" s="18"/>
      <c r="E199" s="19"/>
      <c r="F199" s="182"/>
      <c r="G199" s="48"/>
      <c r="H199" s="49"/>
      <c r="I199" s="21"/>
      <c r="J199" s="50"/>
      <c r="K199" s="23" t="s">
        <v>40</v>
      </c>
    </row>
    <row r="200" ht="22.5" customHeight="1">
      <c r="A200" s="51"/>
      <c r="B200" s="17" t="s">
        <v>337</v>
      </c>
      <c r="C200" s="17" t="s">
        <v>338</v>
      </c>
      <c r="D200" s="18"/>
      <c r="E200" s="19"/>
      <c r="F200" s="182"/>
      <c r="G200" s="48"/>
      <c r="H200" s="49"/>
      <c r="I200" s="21"/>
      <c r="J200" s="50"/>
      <c r="K200" s="23" t="s">
        <v>40</v>
      </c>
    </row>
    <row r="201" ht="22.5" customHeight="1">
      <c r="A201" s="51"/>
      <c r="B201" s="17" t="s">
        <v>340</v>
      </c>
      <c r="C201" s="17" t="s">
        <v>341</v>
      </c>
      <c r="D201" s="18"/>
      <c r="E201" s="19"/>
      <c r="F201" s="182"/>
      <c r="G201" s="48"/>
      <c r="H201" s="49"/>
      <c r="I201" s="21"/>
      <c r="J201" s="50"/>
      <c r="K201" s="23" t="s">
        <v>40</v>
      </c>
    </row>
    <row r="202" ht="22.5" customHeight="1">
      <c r="A202" s="51"/>
      <c r="B202" s="17" t="s">
        <v>343</v>
      </c>
      <c r="C202" s="17" t="s">
        <v>344</v>
      </c>
      <c r="D202" s="18"/>
      <c r="E202" s="19"/>
      <c r="F202" s="182"/>
      <c r="G202" s="48"/>
      <c r="H202" s="49"/>
      <c r="I202" s="21"/>
      <c r="J202" s="50"/>
      <c r="K202" s="23" t="s">
        <v>40</v>
      </c>
    </row>
    <row r="203" ht="22.5" customHeight="1">
      <c r="A203" s="51"/>
      <c r="B203" s="17" t="s">
        <v>346</v>
      </c>
      <c r="C203" s="17" t="s">
        <v>347</v>
      </c>
      <c r="D203" s="18"/>
      <c r="E203" s="19"/>
      <c r="F203" s="182"/>
      <c r="G203" s="48"/>
      <c r="H203" s="49"/>
      <c r="I203" s="21"/>
      <c r="J203" s="50"/>
      <c r="K203" s="23" t="s">
        <v>40</v>
      </c>
    </row>
    <row r="204" ht="22.5" customHeight="1">
      <c r="A204" s="51"/>
      <c r="B204" s="17" t="s">
        <v>349</v>
      </c>
      <c r="C204" s="17" t="s">
        <v>350</v>
      </c>
      <c r="D204" s="18"/>
      <c r="E204" s="19"/>
      <c r="F204" s="182"/>
      <c r="G204" s="48"/>
      <c r="H204" s="49"/>
      <c r="I204" s="21"/>
      <c r="J204" s="50"/>
      <c r="K204" s="23" t="s">
        <v>40</v>
      </c>
    </row>
    <row r="205" ht="22.5" customHeight="1">
      <c r="A205" s="51"/>
      <c r="B205" s="17" t="s">
        <v>352</v>
      </c>
      <c r="C205" s="17" t="s">
        <v>353</v>
      </c>
      <c r="D205" s="18"/>
      <c r="E205" s="19"/>
      <c r="F205" s="182"/>
      <c r="G205" s="48"/>
      <c r="H205" s="49"/>
      <c r="I205" s="21"/>
      <c r="J205" s="50"/>
      <c r="K205" s="23" t="s">
        <v>40</v>
      </c>
    </row>
    <row r="206" ht="22.5" customHeight="1">
      <c r="A206" s="51"/>
      <c r="B206" s="17" t="s">
        <v>355</v>
      </c>
      <c r="C206" s="17" t="s">
        <v>356</v>
      </c>
      <c r="D206" s="18"/>
      <c r="E206" s="19"/>
      <c r="F206" s="182"/>
      <c r="G206" s="48"/>
      <c r="H206" s="49"/>
      <c r="I206" s="21"/>
      <c r="J206" s="50"/>
      <c r="K206" s="23" t="s">
        <v>40</v>
      </c>
    </row>
    <row r="207" ht="22.5" customHeight="1">
      <c r="A207" s="51"/>
      <c r="B207" s="17" t="s">
        <v>358</v>
      </c>
      <c r="C207" s="17" t="s">
        <v>359</v>
      </c>
      <c r="D207" s="18"/>
      <c r="E207" s="19"/>
      <c r="F207" s="182"/>
      <c r="G207" s="48"/>
      <c r="H207" s="49"/>
      <c r="I207" s="21"/>
      <c r="J207" s="50"/>
      <c r="K207" s="23" t="s">
        <v>40</v>
      </c>
    </row>
    <row r="208" ht="22.5" customHeight="1">
      <c r="A208" s="51"/>
      <c r="B208" s="17" t="s">
        <v>361</v>
      </c>
      <c r="C208" s="17" t="s">
        <v>362</v>
      </c>
      <c r="D208" s="18"/>
      <c r="E208" s="19"/>
      <c r="F208" s="182"/>
      <c r="G208" s="48"/>
      <c r="H208" s="49"/>
      <c r="I208" s="21"/>
      <c r="J208" s="50"/>
      <c r="K208" s="23" t="s">
        <v>40</v>
      </c>
    </row>
    <row r="209" ht="22.5" customHeight="1">
      <c r="A209" s="51"/>
      <c r="B209" s="17" t="s">
        <v>364</v>
      </c>
      <c r="C209" s="17"/>
      <c r="D209" s="18"/>
      <c r="E209" s="19"/>
      <c r="F209" s="182"/>
      <c r="G209" s="48"/>
      <c r="H209" s="49"/>
      <c r="I209" s="21"/>
      <c r="J209" s="50"/>
      <c r="K209" s="23" t="s">
        <v>40</v>
      </c>
    </row>
    <row r="210" ht="22.5" customHeight="1">
      <c r="A210" s="51"/>
      <c r="B210" s="17" t="s">
        <v>366</v>
      </c>
      <c r="C210" s="17" t="s">
        <v>367</v>
      </c>
      <c r="D210" s="18"/>
      <c r="E210" s="19"/>
      <c r="F210" s="182"/>
      <c r="G210" s="48"/>
      <c r="H210" s="49"/>
      <c r="I210" s="21"/>
      <c r="J210" s="50"/>
      <c r="K210" s="23" t="s">
        <v>40</v>
      </c>
    </row>
    <row r="211" ht="22.5" customHeight="1">
      <c r="A211" s="51"/>
      <c r="B211" s="17" t="s">
        <v>369</v>
      </c>
      <c r="C211" s="17" t="s">
        <v>370</v>
      </c>
      <c r="D211" s="18"/>
      <c r="E211" s="19"/>
      <c r="F211" s="182"/>
      <c r="G211" s="48"/>
      <c r="H211" s="49"/>
      <c r="I211" s="21"/>
      <c r="J211" s="50"/>
      <c r="K211" s="23" t="s">
        <v>40</v>
      </c>
    </row>
    <row r="212" ht="22.5" customHeight="1">
      <c r="A212" s="51"/>
      <c r="B212" s="17" t="s">
        <v>372</v>
      </c>
      <c r="C212" s="17" t="s">
        <v>370</v>
      </c>
      <c r="D212" s="18"/>
      <c r="E212" s="19"/>
      <c r="F212" s="182"/>
      <c r="G212" s="48"/>
      <c r="H212" s="49"/>
      <c r="I212" s="21"/>
      <c r="J212" s="50"/>
      <c r="K212" s="23" t="s">
        <v>40</v>
      </c>
    </row>
    <row r="213" ht="22.5" customHeight="1">
      <c r="A213" s="51"/>
      <c r="B213" s="17" t="s">
        <v>374</v>
      </c>
      <c r="C213" s="17" t="s">
        <v>375</v>
      </c>
      <c r="D213" s="18"/>
      <c r="E213" s="19"/>
      <c r="F213" s="182"/>
      <c r="G213" s="48"/>
      <c r="H213" s="49"/>
      <c r="I213" s="21"/>
      <c r="J213" s="50"/>
      <c r="K213" s="23" t="s">
        <v>40</v>
      </c>
    </row>
    <row r="214" ht="22.5" customHeight="1">
      <c r="A214" s="51"/>
      <c r="B214" s="17" t="s">
        <v>377</v>
      </c>
      <c r="C214" s="17" t="s">
        <v>378</v>
      </c>
      <c r="D214" s="18"/>
      <c r="E214" s="19"/>
      <c r="F214" s="182"/>
      <c r="G214" s="48"/>
      <c r="H214" s="49"/>
      <c r="I214" s="21"/>
      <c r="J214" s="50"/>
      <c r="K214" s="23" t="s">
        <v>40</v>
      </c>
    </row>
    <row r="215" ht="22.5" customHeight="1">
      <c r="A215" s="51"/>
      <c r="B215" s="17" t="s">
        <v>380</v>
      </c>
      <c r="C215" s="17" t="s">
        <v>381</v>
      </c>
      <c r="D215" s="18"/>
      <c r="E215" s="19"/>
      <c r="F215" s="182"/>
      <c r="G215" s="48"/>
      <c r="H215" s="49"/>
      <c r="I215" s="21"/>
      <c r="J215" s="50"/>
      <c r="K215" s="23" t="s">
        <v>40</v>
      </c>
    </row>
    <row r="216" ht="22.5" customHeight="1">
      <c r="A216" s="51"/>
      <c r="B216" s="17" t="s">
        <v>383</v>
      </c>
      <c r="C216" s="17" t="s">
        <v>384</v>
      </c>
      <c r="D216" s="18"/>
      <c r="E216" s="19"/>
      <c r="F216" s="182"/>
      <c r="G216" s="48"/>
      <c r="H216" s="49"/>
      <c r="I216" s="21"/>
      <c r="J216" s="50"/>
      <c r="K216" s="23" t="s">
        <v>40</v>
      </c>
    </row>
    <row r="217" ht="22.5" customHeight="1">
      <c r="A217" s="51"/>
      <c r="B217" s="17" t="s">
        <v>386</v>
      </c>
      <c r="C217" s="17" t="s">
        <v>387</v>
      </c>
      <c r="D217" s="18"/>
      <c r="E217" s="19"/>
      <c r="F217" s="182"/>
      <c r="G217" s="48"/>
      <c r="H217" s="49"/>
      <c r="I217" s="21"/>
      <c r="J217" s="50"/>
      <c r="K217" s="23" t="s">
        <v>40</v>
      </c>
    </row>
    <row r="218" ht="22.5" customHeight="1">
      <c r="A218" s="51"/>
      <c r="B218" s="17" t="s">
        <v>389</v>
      </c>
      <c r="C218" s="17" t="s">
        <v>390</v>
      </c>
      <c r="D218" s="18"/>
      <c r="E218" s="19"/>
      <c r="F218" s="182"/>
      <c r="G218" s="48"/>
      <c r="H218" s="49"/>
      <c r="I218" s="21"/>
      <c r="J218" s="50"/>
      <c r="K218" s="23" t="s">
        <v>40</v>
      </c>
    </row>
    <row r="219" ht="22.5" customHeight="1">
      <c r="A219" s="51"/>
      <c r="B219" s="17" t="s">
        <v>392</v>
      </c>
      <c r="C219" s="17" t="s">
        <v>393</v>
      </c>
      <c r="D219" s="18"/>
      <c r="E219" s="19"/>
      <c r="F219" s="182"/>
      <c r="G219" s="48"/>
      <c r="H219" s="49"/>
      <c r="I219" s="21"/>
      <c r="J219" s="50"/>
      <c r="K219" s="23" t="s">
        <v>40</v>
      </c>
    </row>
    <row r="220" ht="22.5" customHeight="1">
      <c r="A220" s="51"/>
      <c r="B220" s="17" t="s">
        <v>395</v>
      </c>
      <c r="C220" s="17" t="s">
        <v>396</v>
      </c>
      <c r="D220" s="18"/>
      <c r="E220" s="19"/>
      <c r="F220" s="182"/>
      <c r="G220" s="48"/>
      <c r="H220" s="49"/>
      <c r="I220" s="21"/>
      <c r="J220" s="50"/>
      <c r="K220" s="23" t="s">
        <v>40</v>
      </c>
    </row>
    <row r="221" ht="22.5" customHeight="1">
      <c r="A221" s="51"/>
      <c r="B221" s="17" t="s">
        <v>398</v>
      </c>
      <c r="C221" s="17" t="s">
        <v>399</v>
      </c>
      <c r="D221" s="18"/>
      <c r="E221" s="19"/>
      <c r="F221" s="182"/>
      <c r="G221" s="48"/>
      <c r="H221" s="49"/>
      <c r="I221" s="21"/>
      <c r="J221" s="50"/>
      <c r="K221" s="23" t="s">
        <v>40</v>
      </c>
    </row>
    <row r="222" ht="22.5" customHeight="1">
      <c r="A222" s="51"/>
      <c r="B222" s="17" t="s">
        <v>401</v>
      </c>
      <c r="C222" s="17" t="s">
        <v>402</v>
      </c>
      <c r="D222" s="18"/>
      <c r="E222" s="19"/>
      <c r="F222" s="182"/>
      <c r="G222" s="48"/>
      <c r="H222" s="49"/>
      <c r="I222" s="21"/>
      <c r="J222" s="50"/>
      <c r="K222" s="23" t="s">
        <v>40</v>
      </c>
    </row>
    <row r="223" ht="22.5" customHeight="1">
      <c r="A223" s="51"/>
      <c r="B223" s="17" t="s">
        <v>404</v>
      </c>
      <c r="C223" s="17" t="s">
        <v>405</v>
      </c>
      <c r="D223" s="18"/>
      <c r="E223" s="19"/>
      <c r="F223" s="182"/>
      <c r="G223" s="48"/>
      <c r="H223" s="49"/>
      <c r="I223" s="21"/>
      <c r="J223" s="50"/>
      <c r="K223" s="23" t="s">
        <v>40</v>
      </c>
    </row>
    <row r="224" ht="22.5" customHeight="1">
      <c r="A224" s="51"/>
      <c r="B224" s="17" t="s">
        <v>407</v>
      </c>
      <c r="C224" s="17" t="s">
        <v>408</v>
      </c>
      <c r="D224" s="18"/>
      <c r="E224" s="19"/>
      <c r="F224" s="182"/>
      <c r="G224" s="48"/>
      <c r="H224" s="49"/>
      <c r="I224" s="21"/>
      <c r="J224" s="50"/>
      <c r="K224" s="23" t="s">
        <v>40</v>
      </c>
    </row>
    <row r="225" ht="22.5" customHeight="1">
      <c r="A225" s="51"/>
      <c r="B225" s="17" t="s">
        <v>410</v>
      </c>
      <c r="C225" s="17" t="s">
        <v>411</v>
      </c>
      <c r="D225" s="18"/>
      <c r="E225" s="19"/>
      <c r="F225" s="182"/>
      <c r="G225" s="48"/>
      <c r="H225" s="49"/>
      <c r="I225" s="21"/>
      <c r="J225" s="50"/>
      <c r="K225" s="23" t="s">
        <v>40</v>
      </c>
    </row>
    <row r="226" ht="22.5" customHeight="1">
      <c r="A226" s="51"/>
      <c r="B226" s="17" t="s">
        <v>413</v>
      </c>
      <c r="C226" s="17"/>
      <c r="D226" s="18"/>
      <c r="E226" s="19"/>
      <c r="F226" s="182"/>
      <c r="G226" s="48"/>
      <c r="H226" s="49"/>
      <c r="I226" s="21"/>
      <c r="J226" s="50"/>
      <c r="K226" s="23" t="s">
        <v>40</v>
      </c>
    </row>
    <row r="227" ht="22.5" customHeight="1">
      <c r="A227" s="51"/>
      <c r="B227" s="17" t="s">
        <v>415</v>
      </c>
      <c r="C227" s="17" t="s">
        <v>416</v>
      </c>
      <c r="D227" s="18"/>
      <c r="E227" s="19"/>
      <c r="F227" s="182"/>
      <c r="G227" s="48"/>
      <c r="H227" s="49"/>
      <c r="I227" s="21"/>
      <c r="J227" s="50"/>
      <c r="K227" s="23" t="s">
        <v>40</v>
      </c>
    </row>
    <row r="228" ht="22.5" customHeight="1">
      <c r="A228" s="51"/>
      <c r="B228" s="17" t="s">
        <v>418</v>
      </c>
      <c r="C228" s="17"/>
      <c r="D228" s="18"/>
      <c r="E228" s="19"/>
      <c r="F228" s="182"/>
      <c r="G228" s="48"/>
      <c r="H228" s="49"/>
      <c r="I228" s="21"/>
      <c r="J228" s="50"/>
      <c r="K228" s="23" t="s">
        <v>40</v>
      </c>
    </row>
    <row r="229" ht="22.5" customHeight="1">
      <c r="A229" s="51"/>
      <c r="B229" s="17" t="s">
        <v>420</v>
      </c>
      <c r="C229" s="17" t="s">
        <v>421</v>
      </c>
      <c r="D229" s="18"/>
      <c r="E229" s="19"/>
      <c r="F229" s="182"/>
      <c r="G229" s="48"/>
      <c r="H229" s="49"/>
      <c r="I229" s="21"/>
      <c r="J229" s="50"/>
      <c r="K229" s="23" t="s">
        <v>40</v>
      </c>
    </row>
    <row r="230" ht="22.5" customHeight="1">
      <c r="A230" s="51"/>
      <c r="B230" s="17" t="s">
        <v>423</v>
      </c>
      <c r="C230" s="17" t="s">
        <v>424</v>
      </c>
      <c r="D230" s="18"/>
      <c r="E230" s="19"/>
      <c r="F230" s="182"/>
      <c r="G230" s="48"/>
      <c r="H230" s="49"/>
      <c r="I230" s="21"/>
      <c r="J230" s="50"/>
      <c r="K230" s="23" t="s">
        <v>40</v>
      </c>
    </row>
    <row r="231" ht="22.5" customHeight="1">
      <c r="A231" s="51"/>
      <c r="B231" s="17" t="s">
        <v>426</v>
      </c>
      <c r="C231" s="17" t="s">
        <v>427</v>
      </c>
      <c r="D231" s="18"/>
      <c r="E231" s="19"/>
      <c r="F231" s="182"/>
      <c r="G231" s="48"/>
      <c r="H231" s="49"/>
      <c r="I231" s="21"/>
      <c r="J231" s="50"/>
      <c r="K231" s="23" t="s">
        <v>40</v>
      </c>
    </row>
    <row r="232" ht="22.5" customHeight="1">
      <c r="A232" s="51"/>
      <c r="B232" s="17" t="s">
        <v>429</v>
      </c>
      <c r="C232" s="17" t="s">
        <v>430</v>
      </c>
      <c r="D232" s="18"/>
      <c r="E232" s="19"/>
      <c r="F232" s="182"/>
      <c r="G232" s="48"/>
      <c r="H232" s="49"/>
      <c r="I232" s="21"/>
      <c r="J232" s="50"/>
      <c r="K232" s="23" t="s">
        <v>40</v>
      </c>
    </row>
    <row r="233" ht="22.5" customHeight="1">
      <c r="A233" s="51"/>
      <c r="B233" s="17" t="s">
        <v>432</v>
      </c>
      <c r="C233" s="17" t="s">
        <v>433</v>
      </c>
      <c r="D233" s="18"/>
      <c r="E233" s="19"/>
      <c r="F233" s="182"/>
      <c r="G233" s="48"/>
      <c r="H233" s="49"/>
      <c r="I233" s="21"/>
      <c r="J233" s="50"/>
      <c r="K233" s="23" t="s">
        <v>40</v>
      </c>
    </row>
    <row r="234" ht="22.5" customHeight="1">
      <c r="A234" s="51"/>
      <c r="B234" s="17" t="s">
        <v>435</v>
      </c>
      <c r="C234" s="17" t="s">
        <v>436</v>
      </c>
      <c r="D234" s="18"/>
      <c r="E234" s="19"/>
      <c r="F234" s="182"/>
      <c r="G234" s="48"/>
      <c r="H234" s="49"/>
      <c r="I234" s="21"/>
      <c r="J234" s="50"/>
      <c r="K234" s="23" t="s">
        <v>40</v>
      </c>
    </row>
    <row r="235" ht="22.5" customHeight="1">
      <c r="A235" s="51"/>
      <c r="B235" s="17" t="s">
        <v>438</v>
      </c>
      <c r="C235" s="17" t="s">
        <v>439</v>
      </c>
      <c r="D235" s="18"/>
      <c r="E235" s="19"/>
      <c r="F235" s="182"/>
      <c r="G235" s="48"/>
      <c r="H235" s="49"/>
      <c r="I235" s="21"/>
      <c r="J235" s="50"/>
      <c r="K235" s="23" t="s">
        <v>40</v>
      </c>
    </row>
    <row r="236" ht="22.5" customHeight="1">
      <c r="A236" s="51"/>
      <c r="B236" s="17" t="s">
        <v>441</v>
      </c>
      <c r="C236" s="17" t="s">
        <v>442</v>
      </c>
      <c r="D236" s="18"/>
      <c r="E236" s="19"/>
      <c r="F236" s="182"/>
      <c r="G236" s="48"/>
      <c r="H236" s="49"/>
      <c r="I236" s="21"/>
      <c r="J236" s="50"/>
      <c r="K236" s="23" t="s">
        <v>40</v>
      </c>
    </row>
    <row r="237" ht="22.5" customHeight="1">
      <c r="A237" s="51"/>
      <c r="B237" s="17" t="s">
        <v>444</v>
      </c>
      <c r="C237" s="17" t="s">
        <v>445</v>
      </c>
      <c r="D237" s="18"/>
      <c r="E237" s="19"/>
      <c r="F237" s="182"/>
      <c r="G237" s="48"/>
      <c r="H237" s="49"/>
      <c r="I237" s="21"/>
      <c r="J237" s="50"/>
      <c r="K237" s="23" t="s">
        <v>40</v>
      </c>
    </row>
    <row r="238" ht="22.5" customHeight="1">
      <c r="A238" s="51"/>
      <c r="B238" s="17" t="s">
        <v>247</v>
      </c>
      <c r="C238" s="17" t="s">
        <v>248</v>
      </c>
      <c r="D238" s="18"/>
      <c r="E238" s="19"/>
      <c r="F238" s="182"/>
      <c r="G238" s="48"/>
      <c r="H238" s="49"/>
      <c r="I238" s="21"/>
      <c r="J238" s="50"/>
      <c r="K238" s="23" t="s">
        <v>40</v>
      </c>
    </row>
    <row r="239" ht="22.5" customHeight="1">
      <c r="A239" s="51"/>
      <c r="B239" s="17" t="s">
        <v>448</v>
      </c>
      <c r="C239" s="17" t="s">
        <v>449</v>
      </c>
      <c r="D239" s="18"/>
      <c r="E239" s="19"/>
      <c r="F239" s="182"/>
      <c r="G239" s="48"/>
      <c r="H239" s="49"/>
      <c r="I239" s="21"/>
      <c r="J239" s="50"/>
      <c r="K239" s="23" t="s">
        <v>40</v>
      </c>
    </row>
    <row r="240" ht="22.5" customHeight="1">
      <c r="A240" s="51"/>
      <c r="B240" s="17" t="s">
        <v>451</v>
      </c>
      <c r="C240" s="17" t="s">
        <v>452</v>
      </c>
      <c r="D240" s="18"/>
      <c r="E240" s="19"/>
      <c r="F240" s="182"/>
      <c r="G240" s="48"/>
      <c r="H240" s="49"/>
      <c r="I240" s="21"/>
      <c r="J240" s="50"/>
      <c r="K240" s="23" t="s">
        <v>40</v>
      </c>
    </row>
    <row r="241" ht="22.5" customHeight="1">
      <c r="A241" s="51"/>
      <c r="B241" s="17" t="s">
        <v>454</v>
      </c>
      <c r="C241" s="17" t="s">
        <v>455</v>
      </c>
      <c r="D241" s="18"/>
      <c r="E241" s="19"/>
      <c r="F241" s="182"/>
      <c r="G241" s="48"/>
      <c r="H241" s="49"/>
      <c r="I241" s="21"/>
      <c r="J241" s="50"/>
      <c r="K241" s="23" t="s">
        <v>40</v>
      </c>
    </row>
    <row r="242" ht="22.5" customHeight="1">
      <c r="A242" s="51"/>
      <c r="B242" s="17"/>
      <c r="C242" s="17"/>
      <c r="D242" s="18"/>
      <c r="E242" s="19"/>
      <c r="F242" s="182"/>
      <c r="G242" s="48"/>
      <c r="H242" s="49"/>
      <c r="I242" s="21"/>
      <c r="J242" s="50"/>
      <c r="K242" s="23" t="s">
        <v>40</v>
      </c>
    </row>
    <row r="243" ht="22.5" customHeight="1">
      <c r="A243" s="51"/>
      <c r="B243" s="17"/>
      <c r="C243" s="17"/>
      <c r="D243" s="18"/>
      <c r="E243" s="19"/>
      <c r="F243" s="182"/>
      <c r="G243" s="48"/>
      <c r="H243" s="49"/>
      <c r="I243" s="21"/>
      <c r="J243" s="50"/>
      <c r="K243" s="23" t="s">
        <v>40</v>
      </c>
    </row>
    <row r="244" ht="22.5" customHeight="1">
      <c r="A244" s="51"/>
      <c r="B244" s="52" t="s">
        <v>457</v>
      </c>
      <c r="C244" s="17" t="s">
        <v>458</v>
      </c>
      <c r="D244" s="18"/>
      <c r="E244" s="53" t="s">
        <v>459</v>
      </c>
      <c r="F244" s="9" t="s">
        <v>460</v>
      </c>
      <c r="G244" s="20">
        <v>45993.0</v>
      </c>
      <c r="H244" s="11">
        <v>100000.0</v>
      </c>
      <c r="I244" s="21"/>
      <c r="J244" s="22" t="s">
        <v>97</v>
      </c>
      <c r="K244" s="23" t="s">
        <v>461</v>
      </c>
    </row>
    <row r="245" ht="22.5" customHeight="1">
      <c r="A245" s="51"/>
      <c r="B245" s="17" t="s">
        <v>463</v>
      </c>
      <c r="C245" s="17" t="s">
        <v>464</v>
      </c>
      <c r="D245" s="18"/>
      <c r="E245" s="53" t="s">
        <v>459</v>
      </c>
      <c r="F245" s="9" t="s">
        <v>140</v>
      </c>
      <c r="G245" s="20">
        <v>45996.0</v>
      </c>
      <c r="H245" s="11">
        <v>80000.0</v>
      </c>
      <c r="I245" s="21"/>
      <c r="J245" s="22" t="s">
        <v>97</v>
      </c>
      <c r="K245" s="23" t="s">
        <v>461</v>
      </c>
    </row>
    <row r="246" ht="22.5" customHeight="1">
      <c r="A246" s="51"/>
      <c r="B246" s="17" t="s">
        <v>466</v>
      </c>
      <c r="C246" s="17" t="s">
        <v>467</v>
      </c>
      <c r="D246" s="18"/>
      <c r="E246" s="53" t="s">
        <v>459</v>
      </c>
      <c r="F246" s="9" t="s">
        <v>460</v>
      </c>
      <c r="G246" s="20">
        <v>46002.0</v>
      </c>
      <c r="H246" s="11">
        <v>200000.0</v>
      </c>
      <c r="I246" s="21"/>
      <c r="J246" s="22" t="s">
        <v>97</v>
      </c>
      <c r="K246" s="23" t="s">
        <v>461</v>
      </c>
    </row>
    <row r="247" ht="22.5" customHeight="1">
      <c r="A247" s="51"/>
      <c r="B247" s="17" t="s">
        <v>469</v>
      </c>
      <c r="C247" s="17" t="s">
        <v>319</v>
      </c>
      <c r="D247" s="18"/>
      <c r="E247" s="53" t="s">
        <v>459</v>
      </c>
      <c r="F247" s="9" t="s">
        <v>140</v>
      </c>
      <c r="G247" s="20">
        <v>45908.0</v>
      </c>
      <c r="H247" s="11">
        <v>80000.0</v>
      </c>
      <c r="I247" s="21"/>
      <c r="J247" s="22" t="s">
        <v>97</v>
      </c>
      <c r="K247" s="23" t="s">
        <v>461</v>
      </c>
    </row>
    <row r="248" ht="22.5" customHeight="1">
      <c r="A248" s="51"/>
      <c r="B248" s="17" t="s">
        <v>1395</v>
      </c>
      <c r="C248" s="17" t="s">
        <v>1396</v>
      </c>
      <c r="D248" s="18"/>
      <c r="E248" s="53" t="s">
        <v>459</v>
      </c>
      <c r="F248" s="9" t="s">
        <v>691</v>
      </c>
      <c r="G248" s="20">
        <v>45452.0</v>
      </c>
      <c r="H248" s="11">
        <v>100000.0</v>
      </c>
      <c r="I248" s="21"/>
      <c r="J248" s="22" t="s">
        <v>97</v>
      </c>
      <c r="K248" s="23" t="s">
        <v>461</v>
      </c>
    </row>
    <row r="249" ht="22.5" customHeight="1">
      <c r="A249" s="51"/>
      <c r="B249" s="17" t="s">
        <v>471</v>
      </c>
      <c r="C249" s="17" t="s">
        <v>472</v>
      </c>
      <c r="D249" s="18"/>
      <c r="E249" s="19"/>
      <c r="F249" s="9" t="s">
        <v>140</v>
      </c>
      <c r="G249" s="20">
        <v>46038.0</v>
      </c>
      <c r="H249" s="11">
        <v>80000.0</v>
      </c>
      <c r="I249" s="21"/>
      <c r="J249" s="22" t="s">
        <v>97</v>
      </c>
      <c r="K249" s="23" t="s">
        <v>461</v>
      </c>
    </row>
    <row r="250" ht="22.5" customHeight="1">
      <c r="A250" s="51"/>
      <c r="B250" s="17" t="s">
        <v>474</v>
      </c>
      <c r="C250" s="17" t="s">
        <v>475</v>
      </c>
      <c r="D250" s="18"/>
      <c r="E250" s="19"/>
      <c r="F250" s="9" t="s">
        <v>460</v>
      </c>
      <c r="G250" s="20">
        <v>45921.0</v>
      </c>
      <c r="H250" s="11">
        <v>80000.0</v>
      </c>
      <c r="I250" s="21"/>
      <c r="J250" s="22" t="s">
        <v>97</v>
      </c>
      <c r="K250" s="23" t="s">
        <v>461</v>
      </c>
    </row>
    <row r="251" ht="22.5" customHeight="1">
      <c r="A251" s="51"/>
      <c r="B251" s="17" t="s">
        <v>477</v>
      </c>
      <c r="C251" s="17" t="s">
        <v>478</v>
      </c>
      <c r="D251" s="18"/>
      <c r="E251" s="19"/>
      <c r="F251" s="9" t="s">
        <v>140</v>
      </c>
      <c r="G251" s="20">
        <v>45925.0</v>
      </c>
      <c r="H251" s="11">
        <v>100000.0</v>
      </c>
      <c r="I251" s="21"/>
      <c r="J251" s="22" t="s">
        <v>97</v>
      </c>
      <c r="K251" s="23" t="s">
        <v>461</v>
      </c>
    </row>
    <row r="252" ht="22.5" customHeight="1">
      <c r="A252" s="51"/>
      <c r="B252" s="17" t="s">
        <v>480</v>
      </c>
      <c r="C252" s="17" t="s">
        <v>481</v>
      </c>
      <c r="D252" s="18"/>
      <c r="E252" s="19"/>
      <c r="F252" s="9" t="s">
        <v>460</v>
      </c>
      <c r="G252" s="20">
        <v>45942.0</v>
      </c>
      <c r="H252" s="11">
        <v>100000.0</v>
      </c>
      <c r="I252" s="21"/>
      <c r="J252" s="22" t="s">
        <v>97</v>
      </c>
      <c r="K252" s="23" t="s">
        <v>461</v>
      </c>
    </row>
    <row r="253" ht="22.5" customHeight="1">
      <c r="A253" s="51"/>
      <c r="B253" s="17" t="s">
        <v>483</v>
      </c>
      <c r="C253" s="17" t="s">
        <v>484</v>
      </c>
      <c r="D253" s="18"/>
      <c r="E253" s="19"/>
      <c r="F253" s="9" t="s">
        <v>460</v>
      </c>
      <c r="G253" s="20">
        <v>45951.0</v>
      </c>
      <c r="H253" s="11">
        <v>80000.0</v>
      </c>
      <c r="I253" s="21"/>
      <c r="J253" s="22" t="s">
        <v>97</v>
      </c>
      <c r="K253" s="23" t="s">
        <v>461</v>
      </c>
    </row>
    <row r="254" ht="22.5" customHeight="1">
      <c r="A254" s="51"/>
      <c r="B254" s="17" t="s">
        <v>486</v>
      </c>
      <c r="C254" s="17" t="s">
        <v>487</v>
      </c>
      <c r="D254" s="18"/>
      <c r="E254" s="19"/>
      <c r="F254" s="9" t="s">
        <v>140</v>
      </c>
      <c r="G254" s="20">
        <v>45961.0</v>
      </c>
      <c r="H254" s="11">
        <v>80000.0</v>
      </c>
      <c r="I254" s="21"/>
      <c r="J254" s="22" t="s">
        <v>97</v>
      </c>
      <c r="K254" s="23" t="s">
        <v>461</v>
      </c>
    </row>
    <row r="255" ht="22.5" customHeight="1">
      <c r="A255" s="51"/>
      <c r="B255" s="17" t="s">
        <v>489</v>
      </c>
      <c r="C255" s="17" t="s">
        <v>490</v>
      </c>
      <c r="D255" s="18"/>
      <c r="E255" s="19"/>
      <c r="F255" s="9" t="s">
        <v>491</v>
      </c>
      <c r="G255" s="20">
        <v>45847.0</v>
      </c>
      <c r="H255" s="11">
        <v>250095.01</v>
      </c>
      <c r="I255" s="21"/>
      <c r="J255" s="22" t="s">
        <v>97</v>
      </c>
      <c r="K255" s="23" t="s">
        <v>461</v>
      </c>
    </row>
    <row r="256" ht="22.5" customHeight="1">
      <c r="A256" s="51"/>
      <c r="B256" s="17" t="s">
        <v>493</v>
      </c>
      <c r="C256" s="17" t="s">
        <v>494</v>
      </c>
      <c r="D256" s="18"/>
      <c r="E256" s="19"/>
      <c r="F256" s="9" t="s">
        <v>47</v>
      </c>
      <c r="G256" s="20">
        <v>45676.0</v>
      </c>
      <c r="H256" s="11">
        <v>2371.32</v>
      </c>
      <c r="I256" s="21"/>
      <c r="J256" s="22" t="s">
        <v>39</v>
      </c>
      <c r="K256" s="23" t="s">
        <v>461</v>
      </c>
    </row>
    <row r="257" ht="22.5" customHeight="1">
      <c r="A257" s="51"/>
      <c r="B257" s="17" t="s">
        <v>496</v>
      </c>
      <c r="C257" s="17" t="s">
        <v>497</v>
      </c>
      <c r="D257" s="18"/>
      <c r="E257" s="19"/>
      <c r="F257" s="9" t="s">
        <v>47</v>
      </c>
      <c r="G257" s="20">
        <v>45672.0</v>
      </c>
      <c r="H257" s="11">
        <v>215363.9</v>
      </c>
      <c r="I257" s="21"/>
      <c r="J257" s="22" t="s">
        <v>498</v>
      </c>
      <c r="K257" s="23" t="s">
        <v>461</v>
      </c>
    </row>
    <row r="258" ht="22.5" customHeight="1">
      <c r="A258" s="51"/>
      <c r="B258" s="17" t="s">
        <v>500</v>
      </c>
      <c r="C258" s="17" t="s">
        <v>501</v>
      </c>
      <c r="D258" s="18"/>
      <c r="E258" s="19"/>
      <c r="F258" s="9" t="s">
        <v>140</v>
      </c>
      <c r="G258" s="20">
        <v>45961.0</v>
      </c>
      <c r="H258" s="11">
        <v>100000.0</v>
      </c>
      <c r="I258" s="21"/>
      <c r="J258" s="22" t="s">
        <v>97</v>
      </c>
      <c r="K258" s="23" t="s">
        <v>461</v>
      </c>
    </row>
    <row r="259" ht="22.5" customHeight="1">
      <c r="A259" s="51"/>
      <c r="B259" s="17" t="s">
        <v>503</v>
      </c>
      <c r="C259" s="17" t="s">
        <v>504</v>
      </c>
      <c r="D259" s="18"/>
      <c r="E259" s="19"/>
      <c r="F259" s="9" t="s">
        <v>140</v>
      </c>
      <c r="G259" s="20">
        <v>45597.0</v>
      </c>
      <c r="H259" s="11">
        <v>100000.0</v>
      </c>
      <c r="I259" s="21"/>
      <c r="J259" s="22" t="s">
        <v>97</v>
      </c>
      <c r="K259" s="23" t="s">
        <v>461</v>
      </c>
    </row>
    <row r="260" ht="22.5" customHeight="1">
      <c r="A260" s="51"/>
      <c r="B260" s="17" t="s">
        <v>506</v>
      </c>
      <c r="C260" s="17" t="s">
        <v>507</v>
      </c>
      <c r="D260" s="18"/>
      <c r="E260" s="19"/>
      <c r="F260" s="9" t="s">
        <v>140</v>
      </c>
      <c r="G260" s="20">
        <v>45597.0</v>
      </c>
      <c r="H260" s="11">
        <v>100000.0</v>
      </c>
      <c r="I260" s="21"/>
      <c r="J260" s="22" t="s">
        <v>97</v>
      </c>
      <c r="K260" s="23" t="s">
        <v>461</v>
      </c>
    </row>
    <row r="261" ht="22.5" customHeight="1">
      <c r="A261" s="51"/>
      <c r="B261" s="17" t="s">
        <v>509</v>
      </c>
      <c r="C261" s="17" t="s">
        <v>510</v>
      </c>
      <c r="D261" s="18"/>
      <c r="E261" s="19"/>
      <c r="F261" s="9" t="s">
        <v>140</v>
      </c>
      <c r="G261" s="20">
        <v>45597.0</v>
      </c>
      <c r="H261" s="49"/>
      <c r="I261" s="21"/>
      <c r="J261" s="22" t="s">
        <v>97</v>
      </c>
      <c r="K261" s="23" t="s">
        <v>461</v>
      </c>
    </row>
    <row r="262" ht="22.5" customHeight="1">
      <c r="A262" s="51"/>
      <c r="B262" s="17" t="s">
        <v>512</v>
      </c>
      <c r="C262" s="20" t="s">
        <v>513</v>
      </c>
      <c r="D262" s="18"/>
      <c r="E262" s="19"/>
      <c r="F262" s="9" t="s">
        <v>47</v>
      </c>
      <c r="G262" s="20">
        <v>45704.0</v>
      </c>
      <c r="H262" s="49"/>
      <c r="I262" s="21"/>
      <c r="J262" s="22" t="s">
        <v>56</v>
      </c>
      <c r="K262" s="23" t="s">
        <v>461</v>
      </c>
    </row>
    <row r="263" ht="22.5" customHeight="1">
      <c r="A263" s="51"/>
      <c r="B263" s="17" t="s">
        <v>515</v>
      </c>
      <c r="C263" s="17" t="s">
        <v>516</v>
      </c>
      <c r="D263" s="18"/>
      <c r="E263" s="19"/>
      <c r="F263" s="9" t="s">
        <v>47</v>
      </c>
      <c r="G263" s="20">
        <v>45704.0</v>
      </c>
      <c r="H263" s="49"/>
      <c r="I263" s="21"/>
      <c r="J263" s="22" t="s">
        <v>56</v>
      </c>
      <c r="K263" s="23" t="s">
        <v>461</v>
      </c>
    </row>
    <row r="264" ht="22.5" customHeight="1">
      <c r="A264" s="51"/>
      <c r="B264" s="17" t="s">
        <v>518</v>
      </c>
      <c r="C264" s="17" t="s">
        <v>519</v>
      </c>
      <c r="D264" s="18"/>
      <c r="E264" s="19"/>
      <c r="F264" s="9" t="s">
        <v>63</v>
      </c>
      <c r="G264" s="20">
        <v>45600.0</v>
      </c>
      <c r="H264" s="49"/>
      <c r="I264" s="21"/>
      <c r="J264" s="22" t="s">
        <v>520</v>
      </c>
      <c r="K264" s="23" t="s">
        <v>461</v>
      </c>
    </row>
    <row r="265" ht="22.5" customHeight="1">
      <c r="A265" s="51"/>
      <c r="B265" s="17" t="s">
        <v>522</v>
      </c>
      <c r="C265" s="17" t="s">
        <v>523</v>
      </c>
      <c r="D265" s="18"/>
      <c r="E265" s="19"/>
      <c r="F265" s="9" t="s">
        <v>47</v>
      </c>
      <c r="G265" s="20">
        <v>45876.0</v>
      </c>
      <c r="H265" s="49"/>
      <c r="I265" s="21"/>
      <c r="J265" s="22" t="s">
        <v>524</v>
      </c>
      <c r="K265" s="23" t="s">
        <v>461</v>
      </c>
    </row>
    <row r="266" ht="22.5" customHeight="1">
      <c r="A266" s="51"/>
      <c r="B266" s="17" t="s">
        <v>526</v>
      </c>
      <c r="C266" s="17" t="s">
        <v>527</v>
      </c>
      <c r="D266" s="18"/>
      <c r="E266" s="19"/>
      <c r="F266" s="9" t="s">
        <v>47</v>
      </c>
      <c r="G266" s="20">
        <v>45940.0</v>
      </c>
      <c r="H266" s="49"/>
      <c r="I266" s="21"/>
      <c r="J266" s="22" t="s">
        <v>48</v>
      </c>
      <c r="K266" s="23" t="s">
        <v>461</v>
      </c>
    </row>
    <row r="267" ht="22.5" customHeight="1">
      <c r="A267" s="51"/>
      <c r="B267" s="17" t="s">
        <v>529</v>
      </c>
      <c r="C267" s="17" t="s">
        <v>530</v>
      </c>
      <c r="D267" s="18"/>
      <c r="E267" s="19"/>
      <c r="F267" s="9" t="s">
        <v>127</v>
      </c>
      <c r="G267" s="20">
        <v>45947.0</v>
      </c>
      <c r="H267" s="49"/>
      <c r="I267" s="21"/>
      <c r="J267" s="22" t="s">
        <v>524</v>
      </c>
      <c r="K267" s="23" t="s">
        <v>461</v>
      </c>
    </row>
    <row r="268" ht="22.5" customHeight="1">
      <c r="A268" s="51"/>
      <c r="B268" s="17" t="s">
        <v>532</v>
      </c>
      <c r="C268" s="17" t="s">
        <v>533</v>
      </c>
      <c r="D268" s="18"/>
      <c r="E268" s="19"/>
      <c r="F268" s="9" t="s">
        <v>55</v>
      </c>
      <c r="G268" s="20">
        <v>45720.0</v>
      </c>
      <c r="H268" s="49"/>
      <c r="I268" s="21"/>
      <c r="J268" s="22" t="s">
        <v>39</v>
      </c>
      <c r="K268" s="23" t="s">
        <v>461</v>
      </c>
    </row>
    <row r="269" ht="22.5" customHeight="1">
      <c r="A269" s="51"/>
      <c r="B269" s="17"/>
      <c r="C269" s="17"/>
      <c r="D269" s="18"/>
      <c r="E269" s="19"/>
      <c r="F269" s="182"/>
      <c r="G269" s="48"/>
      <c r="H269" s="49"/>
      <c r="I269" s="21"/>
      <c r="J269" s="22" t="s">
        <v>56</v>
      </c>
      <c r="K269" s="23" t="s">
        <v>461</v>
      </c>
    </row>
    <row r="270" ht="22.5" customHeight="1">
      <c r="A270" s="51"/>
      <c r="B270" s="17"/>
      <c r="C270" s="17"/>
      <c r="D270" s="18"/>
      <c r="E270" s="19"/>
      <c r="F270" s="182"/>
      <c r="G270" s="48"/>
      <c r="H270" s="49"/>
      <c r="I270" s="21"/>
      <c r="J270" s="50"/>
      <c r="K270" s="23" t="s">
        <v>461</v>
      </c>
    </row>
    <row r="271" ht="22.5" customHeight="1">
      <c r="A271" s="51"/>
      <c r="B271" s="17"/>
      <c r="C271" s="17"/>
      <c r="D271" s="18"/>
      <c r="E271" s="19"/>
      <c r="F271" s="182"/>
      <c r="G271" s="48"/>
      <c r="H271" s="49"/>
      <c r="I271" s="21"/>
      <c r="J271" s="50"/>
      <c r="K271" s="23" t="s">
        <v>461</v>
      </c>
    </row>
    <row r="272" ht="22.5" customHeight="1">
      <c r="A272" s="51"/>
      <c r="B272" s="17"/>
      <c r="C272" s="17"/>
      <c r="D272" s="18"/>
      <c r="E272" s="19"/>
      <c r="F272" s="182"/>
      <c r="G272" s="48"/>
      <c r="H272" s="49"/>
      <c r="I272" s="21"/>
      <c r="J272" s="50"/>
      <c r="K272" s="23" t="s">
        <v>461</v>
      </c>
    </row>
    <row r="273" ht="22.5" customHeight="1">
      <c r="A273" s="51"/>
      <c r="B273" s="17"/>
      <c r="C273" s="17"/>
      <c r="D273" s="18"/>
      <c r="E273" s="19"/>
      <c r="F273" s="182"/>
      <c r="G273" s="48"/>
      <c r="H273" s="49"/>
      <c r="I273" s="21"/>
      <c r="J273" s="50"/>
      <c r="K273" s="23" t="s">
        <v>461</v>
      </c>
    </row>
    <row r="274" ht="22.5" customHeight="1">
      <c r="A274" s="51"/>
      <c r="B274" s="17"/>
      <c r="C274" s="17"/>
      <c r="D274" s="18"/>
      <c r="E274" s="19"/>
      <c r="F274" s="182"/>
      <c r="G274" s="48"/>
      <c r="H274" s="49"/>
      <c r="I274" s="21"/>
      <c r="J274" s="50"/>
      <c r="K274" s="23" t="s">
        <v>461</v>
      </c>
    </row>
    <row r="275" ht="22.5" customHeight="1">
      <c r="A275" s="51"/>
      <c r="B275" s="17"/>
      <c r="C275" s="17"/>
      <c r="D275" s="18"/>
      <c r="E275" s="19"/>
      <c r="F275" s="182"/>
      <c r="G275" s="48"/>
      <c r="H275" s="49"/>
      <c r="I275" s="21"/>
      <c r="J275" s="50"/>
      <c r="K275" s="23" t="s">
        <v>461</v>
      </c>
    </row>
  </sheetData>
  <dataValidations>
    <dataValidation type="list" allowBlank="1" sqref="F2:F275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>
      <formula1>OR(NOT(ISERROR(DATEVALUE(G2))), AND(ISNUMBER(G2), LEFT(CELL("format", G2))="D"))</formula1>
    </dataValidation>
    <dataValidation type="custom" allowBlank="1" showDropDown="1" sqref="H2:I275">
      <formula1>AND(ISNUMBER(H2),(NOT(OR(NOT(ISERROR(DATEVALUE(H2))), AND(ISNUMBER(H2), LEFT(CELL("format", H2))="D")))))</formula1>
    </dataValidation>
    <dataValidation type="list" allowBlank="1" sqref="J2:J275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/>
  </dataValidations>
  <hyperlinks>
    <hyperlink r:id="rId1" ref="D2"/>
    <hyperlink r:id="rId2" ref="B3"/>
    <hyperlink r:id="rId3" ref="B14"/>
    <hyperlink r:id="rId4" ref="B25"/>
    <hyperlink r:id="rId5" ref="B36"/>
    <hyperlink r:id="rId6" ref="B46"/>
    <hyperlink r:id="rId7" ref="B57"/>
    <hyperlink r:id="rId8" ref="B68"/>
    <hyperlink r:id="rId9" ref="B79"/>
    <hyperlink r:id="rId10" ref="B82"/>
    <hyperlink r:id="rId11" ref="B83"/>
    <hyperlink r:id="rId12" ref="D84"/>
    <hyperlink r:id="rId13" ref="B85"/>
    <hyperlink r:id="rId14" ref="B86"/>
    <hyperlink r:id="rId15" ref="B88"/>
    <hyperlink r:id="rId16" ref="B89"/>
    <hyperlink r:id="rId17" ref="B90"/>
    <hyperlink r:id="rId18" ref="B91"/>
    <hyperlink r:id="rId19" ref="B92"/>
    <hyperlink r:id="rId20" ref="B93"/>
    <hyperlink r:id="rId21" ref="B94"/>
    <hyperlink r:id="rId22" ref="D95"/>
    <hyperlink r:id="rId23" ref="B96"/>
    <hyperlink r:id="rId24" ref="B97"/>
    <hyperlink r:id="rId25" ref="B98"/>
    <hyperlink r:id="rId26" ref="B99"/>
    <hyperlink r:id="rId27" ref="B100"/>
    <hyperlink r:id="rId28" ref="B101"/>
    <hyperlink r:id="rId29" ref="B102"/>
    <hyperlink r:id="rId30" ref="B103"/>
    <hyperlink r:id="rId31" ref="B105"/>
    <hyperlink r:id="rId32" ref="D106"/>
    <hyperlink r:id="rId33" ref="B107"/>
    <hyperlink r:id="rId34" ref="B108"/>
    <hyperlink r:id="rId35" ref="B109"/>
    <hyperlink r:id="rId36" ref="B110"/>
    <hyperlink r:id="rId37" ref="B111"/>
    <hyperlink r:id="rId38" ref="B112"/>
    <hyperlink r:id="rId39" ref="B113"/>
    <hyperlink r:id="rId40" ref="B114"/>
    <hyperlink r:id="rId41" ref="B115"/>
    <hyperlink r:id="rId42" ref="B116"/>
    <hyperlink r:id="rId43" ref="D117"/>
    <hyperlink r:id="rId44" ref="B118"/>
    <hyperlink r:id="rId45" ref="B119"/>
    <hyperlink r:id="rId46" ref="B120"/>
    <hyperlink r:id="rId47" ref="B121"/>
    <hyperlink r:id="rId48" ref="B122"/>
    <hyperlink r:id="rId49" ref="B123"/>
    <hyperlink r:id="rId50" ref="B124"/>
    <hyperlink r:id="rId51" ref="B125"/>
    <hyperlink r:id="rId52" ref="B126"/>
    <hyperlink r:id="rId53" ref="B127"/>
    <hyperlink r:id="rId54" ref="D128"/>
    <hyperlink r:id="rId55" ref="B129"/>
    <hyperlink r:id="rId56" ref="B130"/>
    <hyperlink r:id="rId57" ref="B131"/>
    <hyperlink r:id="rId58" ref="B132"/>
    <hyperlink r:id="rId59" ref="B133"/>
    <hyperlink r:id="rId60" ref="B134"/>
    <hyperlink r:id="rId61" ref="B135"/>
    <hyperlink r:id="rId62" ref="B136"/>
    <hyperlink r:id="rId63" ref="B137"/>
    <hyperlink r:id="rId64" ref="B138"/>
    <hyperlink r:id="rId65" ref="D139"/>
    <hyperlink r:id="rId66" ref="B140"/>
    <hyperlink r:id="rId67" ref="B141"/>
    <hyperlink r:id="rId68" ref="B142"/>
    <hyperlink r:id="rId69" ref="B143"/>
    <hyperlink r:id="rId70" ref="B144"/>
    <hyperlink r:id="rId71" ref="B145"/>
    <hyperlink r:id="rId72" ref="B146"/>
    <hyperlink r:id="rId73" ref="B147"/>
    <hyperlink r:id="rId74" ref="B148"/>
    <hyperlink r:id="rId75" ref="B149"/>
    <hyperlink r:id="rId76" ref="D150"/>
    <hyperlink r:id="rId77" ref="B152"/>
    <hyperlink r:id="rId78" ref="B153"/>
    <hyperlink r:id="rId79" ref="B154"/>
    <hyperlink r:id="rId80" ref="B155"/>
    <hyperlink r:id="rId81" ref="B157"/>
    <hyperlink r:id="rId82" ref="B159"/>
    <hyperlink r:id="rId83" ref="B160"/>
    <hyperlink r:id="rId84" ref="D161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85"/>
  <tableParts count="1">
    <tablePart r:id="rId87"/>
  </tableParts>
</worksheet>
</file>